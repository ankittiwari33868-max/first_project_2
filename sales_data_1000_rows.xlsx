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cuments\code_for_excel_data\"/>
    </mc:Choice>
  </mc:AlternateContent>
  <xr:revisionPtr revIDLastSave="0" documentId="13_ncr:1_{63E398CB-E2DF-4F90-BE7C-57AF5A631548}" xr6:coauthVersionLast="47" xr6:coauthVersionMax="47" xr10:uidLastSave="{00000000-0000-0000-0000-000000000000}"/>
  <bookViews>
    <workbookView xWindow="-120" yWindow="-120" windowWidth="20730" windowHeight="11160" activeTab="2" xr2:uid="{00000000-000D-0000-FFFF-FFFF00000000}"/>
  </bookViews>
  <sheets>
    <sheet name="Sheet2" sheetId="3" r:id="rId1"/>
    <sheet name="Table1" sheetId="2" r:id="rId2"/>
    <sheet name="Sheet1" sheetId="1" r:id="rId3"/>
    <sheet name="Sheet4" sheetId="5" r:id="rId4"/>
  </sheets>
  <definedNames>
    <definedName name="ExternalData_1" localSheetId="1" hidden="1">Table1!$A$1:$H$1001</definedName>
    <definedName name="NativeTimeline_Date">#N/A</definedName>
    <definedName name="Slicer_Product">#N/A</definedName>
    <definedName name="Slicer_Region">#N/A</definedName>
    <definedName name="Slicer_Sales_Re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002" i="1" l="1"/>
  <c r="R6" i="3"/>
  <c r="V6" i="3"/>
  <c r="T6" i="3"/>
  <c r="O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C0A04D-7A32-4E49-BA8A-E0F677263ADA}"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<sst xmlns="http://schemas.openxmlformats.org/spreadsheetml/2006/main" count="6065" uniqueCount="47">
  <si>
    <t>Order_ID</t>
  </si>
  <si>
    <t>Date</t>
  </si>
  <si>
    <t>Product</t>
  </si>
  <si>
    <t>Region</t>
  </si>
  <si>
    <t>Sales_Rep</t>
  </si>
  <si>
    <t>Units_Sold</t>
  </si>
  <si>
    <t>Unit_Price</t>
  </si>
  <si>
    <t>Total_Sales</t>
  </si>
  <si>
    <t>Headphones</t>
  </si>
  <si>
    <t>East</t>
  </si>
  <si>
    <t>Charlie</t>
  </si>
  <si>
    <t>Mobile</t>
  </si>
  <si>
    <t>Bob</t>
  </si>
  <si>
    <t>Tablet</t>
  </si>
  <si>
    <t>Alice</t>
  </si>
  <si>
    <t>North</t>
  </si>
  <si>
    <t>David</t>
  </si>
  <si>
    <t>Monitor</t>
  </si>
  <si>
    <t>West</t>
  </si>
  <si>
    <t>Laptop</t>
  </si>
  <si>
    <t>South</t>
  </si>
  <si>
    <t>Emma</t>
  </si>
  <si>
    <t>Row Labels</t>
  </si>
  <si>
    <t>Grand Total</t>
  </si>
  <si>
    <t>Sum of Total_Sales</t>
  </si>
  <si>
    <t>Count of Order_ID</t>
  </si>
  <si>
    <t>Sum of Units_Sold</t>
  </si>
  <si>
    <t>Average of Total_Sales</t>
  </si>
  <si>
    <t>Jan</t>
  </si>
  <si>
    <t>Feb</t>
  </si>
  <si>
    <t>Mar</t>
  </si>
  <si>
    <t>Apr</t>
  </si>
  <si>
    <t>May</t>
  </si>
  <si>
    <t>Jun</t>
  </si>
  <si>
    <t>Jul</t>
  </si>
  <si>
    <t>Aug</t>
  </si>
  <si>
    <t>Sep</t>
  </si>
  <si>
    <t>Oct</t>
  </si>
  <si>
    <t>Nov</t>
  </si>
  <si>
    <t>Dec</t>
  </si>
  <si>
    <t>;;;;;;;;;;;;;;;;;;;;;;;;;;;;;;;;;;;</t>
  </si>
  <si>
    <t>;;;;;;;;;;;;;;;;;;;;;;;;;</t>
  </si>
  <si>
    <t>;</t>
  </si>
  <si>
    <t>;;</t>
  </si>
  <si>
    <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</si>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</sst>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font>
    <font>
      <sz val="11"/>
      <color theme="0" tint="-0.499984740745262"/>
      <name val="Calibri"/>
      <family val="2"/>
      <scheme val="minor"/>
    </font>
  </fonts>
  <fills count="3">
    <fill>
      <patternFill patternType="none"/>
    </fill>
    <fill>
      <patternFill patternType="gray125"/>
    </fill>
    <fill>
      <patternFill patternType="solid">
        <fgColor theme="0" tint="-0.34998626667073579"/>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8">
    <xf numFmtId="0" fontId="0" fillId="0" borderId="0" xfId="0"/>
    <xf numFmtId="14" fontId="0" fillId="0" borderId="0" xfId="0" applyNumberFormat="1"/>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2" borderId="4" xfId="0" applyFont="1" applyFill="1" applyBorder="1" applyAlignment="1">
      <alignment horizontal="center" vertical="top"/>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0" fillId="0" borderId="7"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2" fillId="0" borderId="0" xfId="0" applyFont="1"/>
    <xf numFmtId="2" fontId="0" fillId="0" borderId="0" xfId="0" applyNumberFormat="1"/>
  </cellXfs>
  <cellStyles count="1">
    <cellStyle name="Normal" xfId="0" builtinId="0"/>
  </cellStyles>
  <dxfs count="25">
    <dxf>
      <alignment horizontal="center" vertical="center" textRotation="0" wrapText="0" indent="0" justifyLastLine="0" shrinkToFit="0" readingOrder="0"/>
      <border diagonalUp="0" diagonalDown="0" outline="0">
        <left style="thin">
          <color auto="1"/>
        </left>
        <right/>
        <top style="thin">
          <color auto="1"/>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m/d/yyyy"/>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9" formatCode="m/d/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right style="thin">
          <color auto="1"/>
        </right>
        <top style="thin">
          <color auto="1"/>
        </top>
        <bottom/>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none"/>
      </font>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[sales_data_1000_rows.xlsx]Sheet2!Sales_by_Region</c:name>
    <c:fmtId val="0"/>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Region_Sales</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rgbClr val="00B0F0"/>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2177535.600000002</c:v>
                </c:pt>
                <c:pt idx="1">
                  <c:v>2144632.7399999974</c:v>
                </c:pt>
                <c:pt idx="2">
                  <c:v>1581271.9199999997</c:v>
                </c:pt>
                <c:pt idx="3">
                  <c:v>2025419.42</c:v>
                </c:pt>
              </c:numCache>
            </c:numRef>
          </c:val>
          <c:extLst>
            <c:ext xmlns:c16="http://schemas.microsoft.com/office/drawing/2014/chart" uri="{C3380CC4-5D6E-409C-BE32-E72D297353CC}">
              <c16:uniqueId val="{00000000-3918-4285-B354-3A3BE14B7A21}"/>
            </c:ext>
          </c:extLst>
        </c:ser>
        <c:dLbls>
          <c:showLegendKey val="0"/>
          <c:showVal val="0"/>
          <c:showCatName val="0"/>
          <c:showSerName val="0"/>
          <c:showPercent val="0"/>
          <c:showBubbleSize val="0"/>
        </c:dLbls>
        <c:gapWidth val="219"/>
        <c:overlap val="-27"/>
        <c:axId val="413756720"/>
        <c:axId val="413755056"/>
      </c:barChart>
      <c:catAx>
        <c:axId val="41375672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Region</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3755056"/>
        <c:crosses val="autoZero"/>
        <c:auto val="1"/>
        <c:lblAlgn val="ctr"/>
        <c:lblOffset val="100"/>
        <c:noMultiLvlLbl val="0"/>
      </c:catAx>
      <c:valAx>
        <c:axId val="413755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Sales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375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[sales_data_1000_rows.xlsx]Sheet2!Sales_by_Product</c:name>
    <c:fmtId val="0"/>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Product_Sales</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c:f>
              <c:strCache>
                <c:ptCount val="1"/>
                <c:pt idx="0">
                  <c:v>Total</c:v>
                </c:pt>
              </c:strCache>
            </c:strRef>
          </c:tx>
          <c:spPr>
            <a:solidFill>
              <a:srgbClr val="00B0F0"/>
            </a:solidFill>
            <a:ln>
              <a:noFill/>
            </a:ln>
            <a:effectLst/>
          </c:spPr>
          <c:invertIfNegative val="0"/>
          <c:cat>
            <c:strRef>
              <c:f>Sheet2!$I$4:$I$9</c:f>
              <c:strCache>
                <c:ptCount val="5"/>
                <c:pt idx="0">
                  <c:v>Headphones</c:v>
                </c:pt>
                <c:pt idx="1">
                  <c:v>Laptop</c:v>
                </c:pt>
                <c:pt idx="2">
                  <c:v>Mobile</c:v>
                </c:pt>
                <c:pt idx="3">
                  <c:v>Monitor</c:v>
                </c:pt>
                <c:pt idx="4">
                  <c:v>Tablet</c:v>
                </c:pt>
              </c:strCache>
            </c:strRef>
          </c:cat>
          <c:val>
            <c:numRef>
              <c:f>Sheet2!$J$4:$J$9</c:f>
              <c:numCache>
                <c:formatCode>General</c:formatCode>
                <c:ptCount val="5"/>
                <c:pt idx="0">
                  <c:v>1647603.3599999999</c:v>
                </c:pt>
                <c:pt idx="1">
                  <c:v>1462686.7899999996</c:v>
                </c:pt>
                <c:pt idx="2">
                  <c:v>1739180.9699999995</c:v>
                </c:pt>
                <c:pt idx="3">
                  <c:v>1520719.69</c:v>
                </c:pt>
                <c:pt idx="4">
                  <c:v>1558668.8699999999</c:v>
                </c:pt>
              </c:numCache>
            </c:numRef>
          </c:val>
          <c:extLst>
            <c:ext xmlns:c16="http://schemas.microsoft.com/office/drawing/2014/chart" uri="{C3380CC4-5D6E-409C-BE32-E72D297353CC}">
              <c16:uniqueId val="{00000000-49F8-4ED4-A1C4-688E2D829F8F}"/>
            </c:ext>
          </c:extLst>
        </c:ser>
        <c:dLbls>
          <c:showLegendKey val="0"/>
          <c:showVal val="0"/>
          <c:showCatName val="0"/>
          <c:showSerName val="0"/>
          <c:showPercent val="0"/>
          <c:showBubbleSize val="0"/>
        </c:dLbls>
        <c:gapWidth val="182"/>
        <c:axId val="263367424"/>
        <c:axId val="263367840"/>
      </c:barChart>
      <c:catAx>
        <c:axId val="263367424"/>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Product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3367840"/>
        <c:crosses val="autoZero"/>
        <c:auto val="1"/>
        <c:lblAlgn val="ctr"/>
        <c:lblOffset val="100"/>
        <c:noMultiLvlLbl val="0"/>
      </c:catAx>
      <c:valAx>
        <c:axId val="263367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Sales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336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[sales_data_1000_rows.xlsx]Sheet2!Monthly_Sales</c:name>
    <c:fmtId val="0"/>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Mon</a:t>
            </a:r>
            <a:r>
              <a:rPr lang="en-US" sz="1300" b="1" baseline="0">
                <a:solidFill>
                  <a:schemeClr val="tx1"/>
                </a:solidFill>
              </a:rPr>
              <a:t>thly_Sales</a:t>
            </a:r>
            <a:endParaRPr lang="en-US" sz="1300" b="1">
              <a:solidFill>
                <a:schemeClr val="tx1"/>
              </a:solidFill>
            </a:endParaRP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circle"/>
          <c:size val="5"/>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Sheet2!$B$33</c:f>
              <c:strCache>
                <c:ptCount val="1"/>
                <c:pt idx="0">
                  <c:v>Total</c:v>
                </c:pt>
              </c:strCache>
            </c:strRef>
          </c:tx>
          <c:spPr>
            <a:ln w="28575" cap="rnd">
              <a:solidFill>
                <a:srgbClr val="00B0F0"/>
              </a:solidFill>
              <a:round/>
            </a:ln>
            <a:effectLst/>
          </c:spPr>
          <c:marker>
            <c:symbol val="circle"/>
            <c:size val="5"/>
            <c:spPr>
              <a:solidFill>
                <a:srgbClr val="0070C0"/>
              </a:solidFill>
              <a:ln w="9525">
                <a:solidFill>
                  <a:schemeClr val="accent1"/>
                </a:solidFill>
              </a:ln>
              <a:effectLst/>
            </c:spPr>
          </c:marker>
          <c:cat>
            <c:strRef>
              <c:f>Sheet2!$A$34:$A$46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Sheet2!$B$34:$B$46</c:f>
              <c:numCache>
                <c:formatCode>General</c:formatCode>
                <c:ptCount val="12"/>
                <c:pt idx="0">
                  <c:v>667667.87000000034</c:v>
                </c:pt>
                <c:pt idx="1">
                  <c:v>732850.5399999998</c:v>
                </c:pt>
                <c:pt idx="2">
                  <c:v>504826.82000000007</c:v>
                </c:pt>
                <c:pt idx="3">
                  <c:v>648497.6100000001</c:v>
                </c:pt>
                <c:pt idx="4">
                  <c:v>605592.62999999989</c:v>
                </c:pt>
                <c:pt idx="5">
                  <c:v>774991.80999999994</c:v>
                </c:pt>
                <c:pt idx="6">
                  <c:v>843504.99999999988</c:v>
                </c:pt>
                <c:pt idx="7">
                  <c:v>789715.70999999961</c:v>
                </c:pt>
                <c:pt idx="8">
                  <c:v>538051.72000000009</c:v>
                </c:pt>
                <c:pt idx="9">
                  <c:v>595537.37</c:v>
                </c:pt>
                <c:pt idx="10">
                  <c:v>564093.85000000021</c:v>
                </c:pt>
                <c:pt idx="11">
                  <c:v>663528.75000000023</c:v>
                </c:pt>
              </c:numCache>
            </c:numRef>
          </c:val>
          <c:smooth val="0"/>
          <c:extLst>
            <c:ext xmlns:c16="http://schemas.microsoft.com/office/drawing/2014/chart" uri="{C3380CC4-5D6E-409C-BE32-E72D297353CC}">
              <c16:uniqueId val="{00000000-5656-47F7-B6E0-8F3D9A5F89EE}"/>
            </c:ext>
          </c:extLst>
        </c:ser>
        <c:dLbls>
          <c:showLegendKey val="0"/>
          <c:showVal val="0"/>
          <c:showCatName val="0"/>
          <c:showSerName val="0"/>
          <c:showPercent val="0"/>
          <c:showBubbleSize val="0"/>
        </c:dLbls>
        <c:marker val="1"/>
        <c:smooth val="0"/>
        <c:axId val="262723584"/>
        <c:axId val="262722336"/>
      </c:lineChart>
      <c:catAx>
        <c:axId val="262723584"/>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Months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2722336"/>
        <c:crosses val="autoZero"/>
        <c:auto val="1"/>
        <c:lblAlgn val="ctr"/>
        <c:lblOffset val="100"/>
        <c:noMultiLvlLbl val="0"/>
      </c:catAx>
      <c:valAx>
        <c:axId val="262722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Sales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272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[sales_data_1000_rows.xlsx]Sheet2!Sales_by_Salesperson</c:name>
    <c:fmtId val="1"/>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Sales_by</a:t>
            </a:r>
            <a:r>
              <a:rPr lang="en-US" sz="1300" b="1" baseline="0">
                <a:solidFill>
                  <a:schemeClr val="tx1"/>
                </a:solidFill>
              </a:rPr>
              <a:t>_Person</a:t>
            </a:r>
            <a:endParaRPr lang="en-US" sz="1300" b="1">
              <a:solidFill>
                <a:schemeClr val="tx1"/>
              </a:solidFill>
            </a:endParaRP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Sheet2!$N$33</c:f>
              <c:strCache>
                <c:ptCount val="1"/>
                <c:pt idx="0">
                  <c:v>Total</c:v>
                </c:pt>
              </c:strCache>
            </c:strRef>
          </c:tx>
          <c:spPr>
            <a:solidFill>
              <a:srgbClr val="00B0F0"/>
            </a:solidFill>
            <a:ln>
              <a:noFill/>
            </a:ln>
            <a:effectLst/>
          </c:spPr>
          <c:invertIfNegative val="0"/>
          <c:cat>
            <c:strRef>
              <c:f>Sheet2!$M$34:$M$39</c:f>
              <c:strCache>
                <c:ptCount val="5"/>
                <c:pt idx="0">
                  <c:v>Alice</c:v>
                </c:pt>
                <c:pt idx="1">
                  <c:v>Bob</c:v>
                </c:pt>
                <c:pt idx="2">
                  <c:v>Charlie</c:v>
                </c:pt>
                <c:pt idx="3">
                  <c:v>David</c:v>
                </c:pt>
                <c:pt idx="4">
                  <c:v>Emma</c:v>
                </c:pt>
              </c:strCache>
            </c:strRef>
          </c:cat>
          <c:val>
            <c:numRef>
              <c:f>Sheet2!$N$34:$N$39</c:f>
              <c:numCache>
                <c:formatCode>General</c:formatCode>
                <c:ptCount val="5"/>
                <c:pt idx="0">
                  <c:v>1675130.3799999997</c:v>
                </c:pt>
                <c:pt idx="1">
                  <c:v>1662608.3300000003</c:v>
                </c:pt>
                <c:pt idx="2">
                  <c:v>1475914.0299999991</c:v>
                </c:pt>
                <c:pt idx="3">
                  <c:v>1297265.7299999995</c:v>
                </c:pt>
                <c:pt idx="4">
                  <c:v>1817941.21</c:v>
                </c:pt>
              </c:numCache>
            </c:numRef>
          </c:val>
          <c:extLst>
            <c:ext xmlns:c16="http://schemas.microsoft.com/office/drawing/2014/chart" uri="{C3380CC4-5D6E-409C-BE32-E72D297353CC}">
              <c16:uniqueId val="{00000000-0BC7-4DC8-9C77-FD92778CA6D2}"/>
            </c:ext>
          </c:extLst>
        </c:ser>
        <c:dLbls>
          <c:showLegendKey val="0"/>
          <c:showVal val="0"/>
          <c:showCatName val="0"/>
          <c:showSerName val="0"/>
          <c:showPercent val="0"/>
          <c:showBubbleSize val="0"/>
        </c:dLbls>
        <c:gapWidth val="182"/>
        <c:axId val="347933952"/>
        <c:axId val="347934784"/>
      </c:barChart>
      <c:catAx>
        <c:axId val="347933952"/>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Sales_Person</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34784"/>
        <c:crosses val="autoZero"/>
        <c:auto val="1"/>
        <c:lblAlgn val="ctr"/>
        <c:lblOffset val="100"/>
        <c:noMultiLvlLbl val="0"/>
      </c:catAx>
      <c:valAx>
        <c:axId val="347934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Sales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3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[sales_data_1000_rows.xlsx]Sheet2!Monthly_Sales</c:name>
    <c:fmtId val="2"/>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Mon</a:t>
            </a:r>
            <a:r>
              <a:rPr lang="en-US" sz="1300" b="1" baseline="0">
                <a:solidFill>
                  <a:schemeClr val="tx1"/>
                </a:solidFill>
              </a:rPr>
              <a:t>thly_Sales</a:t>
            </a:r>
            <a:endParaRPr lang="en-US" sz="1300" b="1">
              <a:solidFill>
                <a:schemeClr val="tx1"/>
              </a:solidFill>
            </a:endParaRP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Sheet2!$B$33</c:f>
              <c:strCache>
                <c:ptCount val="1"/>
                <c:pt idx="0">
                  <c:v>Total</c:v>
                </c:pt>
              </c:strCache>
            </c:strRef>
          </c:tx>
          <c:spPr>
            <a:ln w="28575" cap="rnd">
              <a:solidFill>
                <a:srgbClr val="00B0F0"/>
              </a:solidFill>
              <a:round/>
            </a:ln>
            <a:effectLst/>
          </c:spPr>
          <c:marker>
            <c:symbol val="circle"/>
            <c:size val="5"/>
            <c:spPr>
              <a:solidFill>
                <a:srgbClr val="0070C0"/>
              </a:solidFill>
              <a:ln w="9525">
                <a:solidFill>
                  <a:schemeClr val="accent1"/>
                </a:solidFill>
              </a:ln>
              <a:effectLst/>
            </c:spPr>
          </c:marker>
          <c:cat>
            <c:strRef>
              <c:f>Sheet2!$A$34:$A$46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Sheet2!$B$34:$B$46</c:f>
              <c:numCache>
                <c:formatCode>General</c:formatCode>
                <c:ptCount val="12"/>
                <c:pt idx="0">
                  <c:v>667667.87000000034</c:v>
                </c:pt>
                <c:pt idx="1">
                  <c:v>732850.5399999998</c:v>
                </c:pt>
                <c:pt idx="2">
                  <c:v>504826.82000000007</c:v>
                </c:pt>
                <c:pt idx="3">
                  <c:v>648497.6100000001</c:v>
                </c:pt>
                <c:pt idx="4">
                  <c:v>605592.62999999989</c:v>
                </c:pt>
                <c:pt idx="5">
                  <c:v>774991.80999999994</c:v>
                </c:pt>
                <c:pt idx="6">
                  <c:v>843504.99999999988</c:v>
                </c:pt>
                <c:pt idx="7">
                  <c:v>789715.70999999961</c:v>
                </c:pt>
                <c:pt idx="8">
                  <c:v>538051.72000000009</c:v>
                </c:pt>
                <c:pt idx="9">
                  <c:v>595537.37</c:v>
                </c:pt>
                <c:pt idx="10">
                  <c:v>564093.85000000021</c:v>
                </c:pt>
                <c:pt idx="11">
                  <c:v>663528.75000000023</c:v>
                </c:pt>
              </c:numCache>
            </c:numRef>
          </c:val>
          <c:smooth val="0"/>
          <c:extLst>
            <c:ext xmlns:c16="http://schemas.microsoft.com/office/drawing/2014/chart" uri="{C3380CC4-5D6E-409C-BE32-E72D297353CC}">
              <c16:uniqueId val="{00000000-48CF-40FC-B22F-74A558B26BB7}"/>
            </c:ext>
          </c:extLst>
        </c:ser>
        <c:dLbls>
          <c:showLegendKey val="0"/>
          <c:showVal val="0"/>
          <c:showCatName val="0"/>
          <c:showSerName val="0"/>
          <c:showPercent val="0"/>
          <c:showBubbleSize val="0"/>
        </c:dLbls>
        <c:marker val="1"/>
        <c:smooth val="0"/>
        <c:axId val="262723584"/>
        <c:axId val="262722336"/>
      </c:lineChart>
      <c:catAx>
        <c:axId val="262723584"/>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Months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2722336"/>
        <c:crosses val="autoZero"/>
        <c:auto val="1"/>
        <c:lblAlgn val="ctr"/>
        <c:lblOffset val="100"/>
        <c:noMultiLvlLbl val="0"/>
      </c:catAx>
      <c:valAx>
        <c:axId val="262722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Sales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272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[sales_data_1000_rows.xlsx]Sheet2!Sales_by_Product</c:name>
    <c:fmtId val="4"/>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Product_Sales</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B0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c:f>
              <c:strCache>
                <c:ptCount val="1"/>
                <c:pt idx="0">
                  <c:v>Total</c:v>
                </c:pt>
              </c:strCache>
            </c:strRef>
          </c:tx>
          <c:spPr>
            <a:solidFill>
              <a:srgbClr val="00B0F0"/>
            </a:solidFill>
            <a:ln>
              <a:noFill/>
            </a:ln>
            <a:effectLst/>
          </c:spPr>
          <c:invertIfNegative val="0"/>
          <c:cat>
            <c:strRef>
              <c:f>Sheet2!$I$4:$I$9</c:f>
              <c:strCache>
                <c:ptCount val="5"/>
                <c:pt idx="0">
                  <c:v>Headphones</c:v>
                </c:pt>
                <c:pt idx="1">
                  <c:v>Laptop</c:v>
                </c:pt>
                <c:pt idx="2">
                  <c:v>Mobile</c:v>
                </c:pt>
                <c:pt idx="3">
                  <c:v>Monitor</c:v>
                </c:pt>
                <c:pt idx="4">
                  <c:v>Tablet</c:v>
                </c:pt>
              </c:strCache>
            </c:strRef>
          </c:cat>
          <c:val>
            <c:numRef>
              <c:f>Sheet2!$J$4:$J$9</c:f>
              <c:numCache>
                <c:formatCode>General</c:formatCode>
                <c:ptCount val="5"/>
                <c:pt idx="0">
                  <c:v>1647603.3599999999</c:v>
                </c:pt>
                <c:pt idx="1">
                  <c:v>1462686.7899999996</c:v>
                </c:pt>
                <c:pt idx="2">
                  <c:v>1739180.9699999995</c:v>
                </c:pt>
                <c:pt idx="3">
                  <c:v>1520719.69</c:v>
                </c:pt>
                <c:pt idx="4">
                  <c:v>1558668.8699999999</c:v>
                </c:pt>
              </c:numCache>
            </c:numRef>
          </c:val>
          <c:extLst>
            <c:ext xmlns:c16="http://schemas.microsoft.com/office/drawing/2014/chart" uri="{C3380CC4-5D6E-409C-BE32-E72D297353CC}">
              <c16:uniqueId val="{00000000-2367-454F-BE56-D4E20D810C75}"/>
            </c:ext>
          </c:extLst>
        </c:ser>
        <c:dLbls>
          <c:showLegendKey val="0"/>
          <c:showVal val="0"/>
          <c:showCatName val="0"/>
          <c:showSerName val="0"/>
          <c:showPercent val="0"/>
          <c:showBubbleSize val="0"/>
        </c:dLbls>
        <c:gapWidth val="182"/>
        <c:axId val="263367424"/>
        <c:axId val="263367840"/>
      </c:barChart>
      <c:catAx>
        <c:axId val="263367424"/>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Product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3367840"/>
        <c:crosses val="autoZero"/>
        <c:auto val="1"/>
        <c:lblAlgn val="ctr"/>
        <c:lblOffset val="100"/>
        <c:noMultiLvlLbl val="0"/>
      </c:catAx>
      <c:valAx>
        <c:axId val="263367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Sales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336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[sales_data_1000_rows.xlsx]Sheet2!Sales_by_Region</c:name>
    <c:fmtId val="2"/>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Region_Sales</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rgbClr val="00B0F0"/>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2177535.600000002</c:v>
                </c:pt>
                <c:pt idx="1">
                  <c:v>2144632.7399999974</c:v>
                </c:pt>
                <c:pt idx="2">
                  <c:v>1581271.9199999997</c:v>
                </c:pt>
                <c:pt idx="3">
                  <c:v>2025419.42</c:v>
                </c:pt>
              </c:numCache>
            </c:numRef>
          </c:val>
          <c:extLst>
            <c:ext xmlns:c16="http://schemas.microsoft.com/office/drawing/2014/chart" uri="{C3380CC4-5D6E-409C-BE32-E72D297353CC}">
              <c16:uniqueId val="{00000000-9C3A-4F50-85DC-FEAF6C2D6365}"/>
            </c:ext>
          </c:extLst>
        </c:ser>
        <c:dLbls>
          <c:showLegendKey val="0"/>
          <c:showVal val="0"/>
          <c:showCatName val="0"/>
          <c:showSerName val="0"/>
          <c:showPercent val="0"/>
          <c:showBubbleSize val="0"/>
        </c:dLbls>
        <c:gapWidth val="219"/>
        <c:overlap val="-27"/>
        <c:axId val="413756720"/>
        <c:axId val="413755056"/>
      </c:barChart>
      <c:catAx>
        <c:axId val="41375672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Region</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3755056"/>
        <c:crosses val="autoZero"/>
        <c:auto val="1"/>
        <c:lblAlgn val="ctr"/>
        <c:lblOffset val="100"/>
        <c:noMultiLvlLbl val="0"/>
      </c:catAx>
      <c:valAx>
        <c:axId val="413755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Sales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375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[sales_data_1000_rows.xlsx]Sheet2!Sales_by_Salesperson</c:name>
    <c:fmtId val="5"/>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Sales_by</a:t>
            </a:r>
            <a:r>
              <a:rPr lang="en-US" sz="1300" b="1" baseline="0">
                <a:solidFill>
                  <a:schemeClr val="tx1"/>
                </a:solidFill>
              </a:rPr>
              <a:t>_Person</a:t>
            </a:r>
            <a:endParaRPr lang="en-US" sz="1300" b="1">
              <a:solidFill>
                <a:schemeClr val="tx1"/>
              </a:solidFill>
            </a:endParaRP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Sheet2!$N$33</c:f>
              <c:strCache>
                <c:ptCount val="1"/>
                <c:pt idx="0">
                  <c:v>Total</c:v>
                </c:pt>
              </c:strCache>
            </c:strRef>
          </c:tx>
          <c:spPr>
            <a:solidFill>
              <a:srgbClr val="00B0F0"/>
            </a:solidFill>
            <a:ln>
              <a:noFill/>
            </a:ln>
            <a:effectLst/>
          </c:spPr>
          <c:invertIfNegative val="0"/>
          <c:cat>
            <c:strRef>
              <c:f>Sheet2!$M$34:$M$39</c:f>
              <c:strCache>
                <c:ptCount val="5"/>
                <c:pt idx="0">
                  <c:v>Alice</c:v>
                </c:pt>
                <c:pt idx="1">
                  <c:v>Bob</c:v>
                </c:pt>
                <c:pt idx="2">
                  <c:v>Charlie</c:v>
                </c:pt>
                <c:pt idx="3">
                  <c:v>David</c:v>
                </c:pt>
                <c:pt idx="4">
                  <c:v>Emma</c:v>
                </c:pt>
              </c:strCache>
            </c:strRef>
          </c:cat>
          <c:val>
            <c:numRef>
              <c:f>Sheet2!$N$34:$N$39</c:f>
              <c:numCache>
                <c:formatCode>General</c:formatCode>
                <c:ptCount val="5"/>
                <c:pt idx="0">
                  <c:v>1675130.3799999997</c:v>
                </c:pt>
                <c:pt idx="1">
                  <c:v>1662608.3300000003</c:v>
                </c:pt>
                <c:pt idx="2">
                  <c:v>1475914.0299999991</c:v>
                </c:pt>
                <c:pt idx="3">
                  <c:v>1297265.7299999995</c:v>
                </c:pt>
                <c:pt idx="4">
                  <c:v>1817941.21</c:v>
                </c:pt>
              </c:numCache>
            </c:numRef>
          </c:val>
          <c:extLst>
            <c:ext xmlns:c16="http://schemas.microsoft.com/office/drawing/2014/chart" uri="{C3380CC4-5D6E-409C-BE32-E72D297353CC}">
              <c16:uniqueId val="{00000000-C7C6-4CAA-841A-B158221C9BF7}"/>
            </c:ext>
          </c:extLst>
        </c:ser>
        <c:dLbls>
          <c:showLegendKey val="0"/>
          <c:showVal val="0"/>
          <c:showCatName val="0"/>
          <c:showSerName val="0"/>
          <c:showPercent val="0"/>
          <c:showBubbleSize val="0"/>
        </c:dLbls>
        <c:gapWidth val="182"/>
        <c:axId val="347933952"/>
        <c:axId val="347934784"/>
      </c:barChart>
      <c:catAx>
        <c:axId val="347933952"/>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Sales_Person</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47934784"/>
        <c:crosses val="autoZero"/>
        <c:auto val="1"/>
        <c:lblAlgn val="ctr"/>
        <c:lblOffset val="100"/>
        <c:noMultiLvlLbl val="0"/>
      </c:catAx>
      <c:valAx>
        <c:axId val="347934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a:solidFill>
                      <a:schemeClr val="tx1"/>
                    </a:solidFill>
                  </a:rPr>
                  <a:t>Sales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4793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438150</xdr:colOff>
      <xdr:row>9</xdr:row>
      <xdr:rowOff>33337</xdr:rowOff>
    </xdr:from>
    <xdr:to>
      <xdr:col>6</xdr:col>
      <xdr:colOff>0</xdr:colOff>
      <xdr:row>23</xdr:row>
      <xdr:rowOff>109537</xdr:rowOff>
    </xdr:to>
    <xdr:graphicFrame macro="">
      <xdr:nvGraphicFramePr>
        <xdr:cNvPr id="3" name="Chart 2">
          <a:extLst>
            <a:ext uri="{FF2B5EF4-FFF2-40B4-BE49-F238E27FC236}">
              <a16:creationId xmlns:a16="http://schemas.microsoft.com/office/drawing/2014/main" id="{696CC2E7-20C6-42C1-ADE2-5825C16EA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247650</xdr:colOff>
      <xdr:row>9</xdr:row>
      <xdr:rowOff>104775</xdr:rowOff>
    </xdr:from>
    <xdr:to>
      <xdr:col>12</xdr:col>
      <xdr:colOff>0</xdr:colOff>
      <xdr:row>23</xdr:row>
      <xdr:rowOff>14287</xdr:rowOff>
    </xdr:to>
    <xdr:graphicFrame macro="">
      <xdr:nvGraphicFramePr>
        <xdr:cNvPr id="4" name="Chart 3">
          <a:extLst>
            <a:ext uri="{FF2B5EF4-FFF2-40B4-BE49-F238E27FC236}">
              <a16:creationId xmlns:a16="http://schemas.microsoft.com/office/drawing/2014/main" id="{1A90BBA8-BF60-44E5-AF17-565D49724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31</xdr:row>
      <xdr:rowOff>185737</xdr:rowOff>
    </xdr:from>
    <xdr:to>
      <xdr:col>9</xdr:col>
      <xdr:colOff>152400</xdr:colOff>
      <xdr:row>46</xdr:row>
      <xdr:rowOff>71437</xdr:rowOff>
    </xdr:to>
    <xdr:graphicFrame macro="">
      <xdr:nvGraphicFramePr>
        <xdr:cNvPr id="5" name="Chart 4">
          <a:extLst>
            <a:ext uri="{FF2B5EF4-FFF2-40B4-BE49-F238E27FC236}">
              <a16:creationId xmlns:a16="http://schemas.microsoft.com/office/drawing/2014/main" id="{B0AC7F77-E025-4DB2-A30F-1D7956267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77390</xdr:colOff>
      <xdr:row>31</xdr:row>
      <xdr:rowOff>170259</xdr:rowOff>
    </xdr:from>
    <xdr:to>
      <xdr:col>19</xdr:col>
      <xdr:colOff>506015</xdr:colOff>
      <xdr:row>46</xdr:row>
      <xdr:rowOff>55959</xdr:rowOff>
    </xdr:to>
    <xdr:graphicFrame macro="">
      <xdr:nvGraphicFramePr>
        <xdr:cNvPr id="6" name="Chart 5">
          <a:extLst>
            <a:ext uri="{FF2B5EF4-FFF2-40B4-BE49-F238E27FC236}">
              <a16:creationId xmlns:a16="http://schemas.microsoft.com/office/drawing/2014/main" id="{553915C0-860F-454A-8EE1-8ECDB13BC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100013</xdr:colOff>
      <xdr:row>9</xdr:row>
      <xdr:rowOff>102394</xdr:rowOff>
    </xdr:from>
    <xdr:to>
      <xdr:col>13</xdr:col>
      <xdr:colOff>988219</xdr:colOff>
      <xdr:row>18</xdr:row>
      <xdr:rowOff>154781</xdr:rowOff>
    </xdr:to>
    <mc:AlternateContent xmlns:mc="http://schemas.openxmlformats.org/markup-compatibility/2006" xmlns:a14="http://schemas.microsoft.com/office/drawing/2010/main">
      <mc:Choice Requires="a14">
        <xdr:graphicFrame macro="">
          <xdr:nvGraphicFramePr>
            <xdr:cNvPr id="19" name="Product">
              <a:extLst>
                <a:ext uri="{FF2B5EF4-FFF2-40B4-BE49-F238E27FC236}">
                  <a16:creationId xmlns:a16="http://schemas.microsoft.com/office/drawing/2014/main" id="{B6A95F8D-C44E-4403-841E-365D4360D79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291638" y="1816894"/>
              <a:ext cx="1828800" cy="1766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145256</xdr:colOff>
      <xdr:row>0</xdr:row>
      <xdr:rowOff>30957</xdr:rowOff>
    </xdr:from>
    <xdr:to>
      <xdr:col>5</xdr:col>
      <xdr:colOff>154782</xdr:colOff>
      <xdr:row>8</xdr:row>
      <xdr:rowOff>11907</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D7D8152B-12A9-4A74-9D71-D1D3EF6B12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12194" y="30957"/>
              <a:ext cx="1831182"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511969</xdr:colOff>
      <xdr:row>39</xdr:row>
      <xdr:rowOff>114299</xdr:rowOff>
    </xdr:from>
    <xdr:to>
      <xdr:col>13</xdr:col>
      <xdr:colOff>797719</xdr:colOff>
      <xdr:row>49</xdr:row>
      <xdr:rowOff>83344</xdr:rowOff>
    </xdr:to>
    <mc:AlternateContent xmlns:mc="http://schemas.openxmlformats.org/markup-compatibility/2006" xmlns:a14="http://schemas.microsoft.com/office/drawing/2010/main">
      <mc:Choice Requires="a14">
        <xdr:graphicFrame macro="">
          <xdr:nvGraphicFramePr>
            <xdr:cNvPr id="21" name="Sales_Rep">
              <a:extLst>
                <a:ext uri="{FF2B5EF4-FFF2-40B4-BE49-F238E27FC236}">
                  <a16:creationId xmlns:a16="http://schemas.microsoft.com/office/drawing/2014/main" id="{E511D446-9924-4A0A-960A-40E5EBA3733A}"/>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9096375" y="7543799"/>
              <a:ext cx="1833563" cy="1874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488156</xdr:colOff>
      <xdr:row>47</xdr:row>
      <xdr:rowOff>7143</xdr:rowOff>
    </xdr:from>
    <xdr:to>
      <xdr:col>8</xdr:col>
      <xdr:colOff>178594</xdr:colOff>
      <xdr:row>54</xdr:row>
      <xdr:rowOff>45243</xdr:rowOff>
    </xdr:to>
    <mc:AlternateContent xmlns:mc="http://schemas.openxmlformats.org/markup-compatibility/2006" xmlns:tsle="http://schemas.microsoft.com/office/drawing/2012/timeslicer">
      <mc:Choice Requires="tsle">
        <xdr:graphicFrame macro="">
          <xdr:nvGraphicFramePr>
            <xdr:cNvPr id="22" name="Date">
              <a:extLst>
                <a:ext uri="{FF2B5EF4-FFF2-40B4-BE49-F238E27FC236}">
                  <a16:creationId xmlns:a16="http://schemas.microsoft.com/office/drawing/2014/main" id="{2753DEEB-8405-4B46-B69A-19980D4CD95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655094" y="8960643"/>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1166813</xdr:colOff>
      <xdr:row>6</xdr:row>
      <xdr:rowOff>178592</xdr:rowOff>
    </xdr:from>
    <xdr:to>
      <xdr:col>16</xdr:col>
      <xdr:colOff>190024</xdr:colOff>
      <xdr:row>12</xdr:row>
      <xdr:rowOff>132872</xdr:rowOff>
    </xdr:to>
    <xdr:grpSp>
      <xdr:nvGrpSpPr>
        <xdr:cNvPr id="30" name="Group 29">
          <a:extLst>
            <a:ext uri="{FF2B5EF4-FFF2-40B4-BE49-F238E27FC236}">
              <a16:creationId xmlns:a16="http://schemas.microsoft.com/office/drawing/2014/main" id="{E6ED788F-1883-4728-BE5F-8FAD03351568}"/>
            </a:ext>
          </a:extLst>
        </xdr:cNvPr>
        <xdr:cNvGrpSpPr/>
      </xdr:nvGrpSpPr>
      <xdr:grpSpPr>
        <a:xfrm>
          <a:off x="11299032" y="1321592"/>
          <a:ext cx="2011680" cy="1097280"/>
          <a:chOff x="11310938" y="1369218"/>
          <a:chExt cx="2011680" cy="1097280"/>
        </a:xfrm>
      </xdr:grpSpPr>
      <xdr:sp macro="" textlink="">
        <xdr:nvSpPr>
          <xdr:cNvPr id="10" name="Rectangle: Rounded Corners 9">
            <a:extLst>
              <a:ext uri="{FF2B5EF4-FFF2-40B4-BE49-F238E27FC236}">
                <a16:creationId xmlns:a16="http://schemas.microsoft.com/office/drawing/2014/main" id="{2DB9AF15-94A9-42C0-9B49-711C9094CA92}"/>
              </a:ext>
            </a:extLst>
          </xdr:cNvPr>
          <xdr:cNvSpPr/>
        </xdr:nvSpPr>
        <xdr:spPr>
          <a:xfrm>
            <a:off x="11310938" y="1369218"/>
            <a:ext cx="2011680" cy="109728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lumMod val="50000"/>
                </a:schemeClr>
              </a:solidFill>
            </a:endParaRPr>
          </a:p>
        </xdr:txBody>
      </xdr:sp>
      <xdr:sp macro="" textlink="">
        <xdr:nvSpPr>
          <xdr:cNvPr id="11" name="TextBox 10">
            <a:extLst>
              <a:ext uri="{FF2B5EF4-FFF2-40B4-BE49-F238E27FC236}">
                <a16:creationId xmlns:a16="http://schemas.microsoft.com/office/drawing/2014/main" id="{F4E54C8F-A65E-4B42-B125-4E5D16881B75}"/>
              </a:ext>
            </a:extLst>
          </xdr:cNvPr>
          <xdr:cNvSpPr txBox="1"/>
        </xdr:nvSpPr>
        <xdr:spPr>
          <a:xfrm>
            <a:off x="11489530" y="1452562"/>
            <a:ext cx="1645920" cy="4572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solidFill>
              </a:rPr>
              <a:t>Total Order</a:t>
            </a:r>
          </a:p>
        </xdr:txBody>
      </xdr:sp>
      <xdr:sp macro="" textlink="$O$6">
        <xdr:nvSpPr>
          <xdr:cNvPr id="23" name="TextBox 22">
            <a:extLst>
              <a:ext uri="{FF2B5EF4-FFF2-40B4-BE49-F238E27FC236}">
                <a16:creationId xmlns:a16="http://schemas.microsoft.com/office/drawing/2014/main" id="{621D4F03-D2E5-46BB-8F62-DE0FD63BCF8D}"/>
              </a:ext>
            </a:extLst>
          </xdr:cNvPr>
          <xdr:cNvSpPr txBox="1"/>
        </xdr:nvSpPr>
        <xdr:spPr>
          <a:xfrm>
            <a:off x="11489530" y="1916905"/>
            <a:ext cx="1645920" cy="4572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79895F-7693-4632-8966-FF7338E01A92}" type="TxLink">
              <a:rPr lang="en-US" sz="2400" b="1" i="0" u="none" strike="noStrike">
                <a:solidFill>
                  <a:srgbClr val="000000"/>
                </a:solidFill>
                <a:latin typeface="Calibri"/>
                <a:cs typeface="Calibri"/>
              </a:rPr>
              <a:pPr algn="ctr"/>
              <a:t>1000</a:t>
            </a:fld>
            <a:endParaRPr lang="en-US" sz="4000" b="1">
              <a:solidFill>
                <a:schemeClr val="tx1"/>
              </a:solidFill>
            </a:endParaRPr>
          </a:p>
        </xdr:txBody>
      </xdr:sp>
    </xdr:grpSp>
    <xdr:clientData/>
  </xdr:twoCellAnchor>
  <xdr:twoCellAnchor>
    <xdr:from>
      <xdr:col>15</xdr:col>
      <xdr:colOff>583407</xdr:colOff>
      <xdr:row>14</xdr:row>
      <xdr:rowOff>11905</xdr:rowOff>
    </xdr:from>
    <xdr:to>
      <xdr:col>18</xdr:col>
      <xdr:colOff>201931</xdr:colOff>
      <xdr:row>19</xdr:row>
      <xdr:rowOff>156685</xdr:rowOff>
    </xdr:to>
    <xdr:grpSp>
      <xdr:nvGrpSpPr>
        <xdr:cNvPr id="31" name="Group 30">
          <a:extLst>
            <a:ext uri="{FF2B5EF4-FFF2-40B4-BE49-F238E27FC236}">
              <a16:creationId xmlns:a16="http://schemas.microsoft.com/office/drawing/2014/main" id="{4E9CE4A9-6218-4BED-9097-C94AC55D127F}"/>
            </a:ext>
          </a:extLst>
        </xdr:cNvPr>
        <xdr:cNvGrpSpPr/>
      </xdr:nvGrpSpPr>
      <xdr:grpSpPr>
        <a:xfrm>
          <a:off x="13096876" y="2678905"/>
          <a:ext cx="2011680" cy="1097280"/>
          <a:chOff x="12942095" y="2666998"/>
          <a:chExt cx="2011680" cy="1097280"/>
        </a:xfrm>
      </xdr:grpSpPr>
      <xdr:sp macro="" textlink="">
        <xdr:nvSpPr>
          <xdr:cNvPr id="13" name="Rectangle: Rounded Corners 12">
            <a:extLst>
              <a:ext uri="{FF2B5EF4-FFF2-40B4-BE49-F238E27FC236}">
                <a16:creationId xmlns:a16="http://schemas.microsoft.com/office/drawing/2014/main" id="{175A34FA-7695-4F29-A573-F7FA8F47C574}"/>
              </a:ext>
            </a:extLst>
          </xdr:cNvPr>
          <xdr:cNvSpPr/>
        </xdr:nvSpPr>
        <xdr:spPr>
          <a:xfrm>
            <a:off x="12942095" y="2666998"/>
            <a:ext cx="2011680" cy="109728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6">
        <xdr:nvSpPr>
          <xdr:cNvPr id="14" name="TextBox 13">
            <a:extLst>
              <a:ext uri="{FF2B5EF4-FFF2-40B4-BE49-F238E27FC236}">
                <a16:creationId xmlns:a16="http://schemas.microsoft.com/office/drawing/2014/main" id="{9EADB0EA-B950-41CD-B627-462CC2F644A6}"/>
              </a:ext>
            </a:extLst>
          </xdr:cNvPr>
          <xdr:cNvSpPr txBox="1"/>
        </xdr:nvSpPr>
        <xdr:spPr>
          <a:xfrm>
            <a:off x="13125263" y="3221770"/>
            <a:ext cx="164592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05EFFC-1365-4325-8B18-49A473626E35}" type="TxLink">
              <a:rPr lang="en-US" sz="2400" b="1" i="0" u="none" strike="noStrike">
                <a:solidFill>
                  <a:srgbClr val="000000"/>
                </a:solidFill>
                <a:latin typeface="Calibri"/>
                <a:cs typeface="Calibri"/>
              </a:rPr>
              <a:pPr algn="ctr"/>
              <a:t>10229</a:t>
            </a:fld>
            <a:endParaRPr lang="en-US" sz="4800" b="1" i="0" u="none" strike="noStrike">
              <a:solidFill>
                <a:srgbClr val="000000"/>
              </a:solidFill>
              <a:latin typeface="Calibri"/>
              <a:cs typeface="Calibri"/>
            </a:endParaRPr>
          </a:p>
        </xdr:txBody>
      </xdr:sp>
      <xdr:sp macro="" textlink="$R$6">
        <xdr:nvSpPr>
          <xdr:cNvPr id="24" name="TextBox 23">
            <a:extLst>
              <a:ext uri="{FF2B5EF4-FFF2-40B4-BE49-F238E27FC236}">
                <a16:creationId xmlns:a16="http://schemas.microsoft.com/office/drawing/2014/main" id="{8743EDDE-4021-464E-98FD-13E93C1DC35C}"/>
              </a:ext>
            </a:extLst>
          </xdr:cNvPr>
          <xdr:cNvSpPr txBox="1"/>
        </xdr:nvSpPr>
        <xdr:spPr>
          <a:xfrm>
            <a:off x="13125263" y="2736657"/>
            <a:ext cx="1645920" cy="4754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Calibri"/>
                <a:cs typeface="Calibri"/>
              </a:rPr>
              <a:t>Unit_Sold</a:t>
            </a:r>
          </a:p>
        </xdr:txBody>
      </xdr:sp>
    </xdr:grpSp>
    <xdr:clientData/>
  </xdr:twoCellAnchor>
  <xdr:twoCellAnchor>
    <xdr:from>
      <xdr:col>18</xdr:col>
      <xdr:colOff>47626</xdr:colOff>
      <xdr:row>7</xdr:row>
      <xdr:rowOff>130967</xdr:rowOff>
    </xdr:from>
    <xdr:to>
      <xdr:col>19</xdr:col>
      <xdr:colOff>1452087</xdr:colOff>
      <xdr:row>13</xdr:row>
      <xdr:rowOff>85247</xdr:rowOff>
    </xdr:to>
    <xdr:grpSp>
      <xdr:nvGrpSpPr>
        <xdr:cNvPr id="32" name="Group 31">
          <a:extLst>
            <a:ext uri="{FF2B5EF4-FFF2-40B4-BE49-F238E27FC236}">
              <a16:creationId xmlns:a16="http://schemas.microsoft.com/office/drawing/2014/main" id="{93FA6A6A-CC88-405E-A8C4-368FB0B9AEE6}"/>
            </a:ext>
          </a:extLst>
        </xdr:cNvPr>
        <xdr:cNvGrpSpPr/>
      </xdr:nvGrpSpPr>
      <xdr:grpSpPr>
        <a:xfrm>
          <a:off x="14954251" y="1464467"/>
          <a:ext cx="2011680" cy="1097280"/>
          <a:chOff x="14966157" y="1297780"/>
          <a:chExt cx="2011680" cy="1097280"/>
        </a:xfrm>
      </xdr:grpSpPr>
      <xdr:sp macro="" textlink="">
        <xdr:nvSpPr>
          <xdr:cNvPr id="15" name="Rectangle: Rounded Corners 14">
            <a:extLst>
              <a:ext uri="{FF2B5EF4-FFF2-40B4-BE49-F238E27FC236}">
                <a16:creationId xmlns:a16="http://schemas.microsoft.com/office/drawing/2014/main" id="{4934C154-9B72-4BFC-8485-C8F064F024BB}"/>
              </a:ext>
            </a:extLst>
          </xdr:cNvPr>
          <xdr:cNvSpPr/>
        </xdr:nvSpPr>
        <xdr:spPr>
          <a:xfrm>
            <a:off x="14966157" y="1297780"/>
            <a:ext cx="2011680" cy="109728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T$6">
        <xdr:nvSpPr>
          <xdr:cNvPr id="16" name="TextBox 15">
            <a:extLst>
              <a:ext uri="{FF2B5EF4-FFF2-40B4-BE49-F238E27FC236}">
                <a16:creationId xmlns:a16="http://schemas.microsoft.com/office/drawing/2014/main" id="{9D75C82A-1D2D-47AC-B4C8-65E67C47809E}"/>
              </a:ext>
            </a:extLst>
          </xdr:cNvPr>
          <xdr:cNvSpPr txBox="1"/>
        </xdr:nvSpPr>
        <xdr:spPr>
          <a:xfrm>
            <a:off x="15146793" y="1834988"/>
            <a:ext cx="164592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E33CD5-B368-4C16-8E0A-AF451758F196}" type="TxLink">
              <a:rPr lang="en-US" sz="2400" b="1" i="0" u="none" strike="noStrike">
                <a:solidFill>
                  <a:srgbClr val="000000"/>
                </a:solidFill>
                <a:latin typeface="Calibri"/>
                <a:cs typeface="Calibri"/>
              </a:rPr>
              <a:pPr algn="ctr"/>
              <a:t>7928.86</a:t>
            </a:fld>
            <a:endParaRPr lang="en-US" sz="8800" b="1" i="0" u="none" strike="noStrike">
              <a:solidFill>
                <a:srgbClr val="000000"/>
              </a:solidFill>
              <a:latin typeface="Calibri"/>
              <a:cs typeface="Calibri"/>
            </a:endParaRPr>
          </a:p>
        </xdr:txBody>
      </xdr:sp>
      <xdr:sp macro="" textlink="$T$6">
        <xdr:nvSpPr>
          <xdr:cNvPr id="25" name="TextBox 24">
            <a:extLst>
              <a:ext uri="{FF2B5EF4-FFF2-40B4-BE49-F238E27FC236}">
                <a16:creationId xmlns:a16="http://schemas.microsoft.com/office/drawing/2014/main" id="{AA772BC6-7E81-4906-8979-811DF11C96CE}"/>
              </a:ext>
            </a:extLst>
          </xdr:cNvPr>
          <xdr:cNvSpPr txBox="1"/>
        </xdr:nvSpPr>
        <xdr:spPr>
          <a:xfrm>
            <a:off x="15146793" y="1354929"/>
            <a:ext cx="1645920" cy="4663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Calibri"/>
                <a:cs typeface="Calibri"/>
              </a:rPr>
              <a:t>Average_Sale</a:t>
            </a:r>
          </a:p>
        </xdr:txBody>
      </xdr:sp>
    </xdr:grpSp>
    <xdr:clientData/>
  </xdr:twoCellAnchor>
  <xdr:twoCellAnchor>
    <xdr:from>
      <xdr:col>20</xdr:col>
      <xdr:colOff>535782</xdr:colOff>
      <xdr:row>13</xdr:row>
      <xdr:rowOff>178591</xdr:rowOff>
    </xdr:from>
    <xdr:to>
      <xdr:col>22</xdr:col>
      <xdr:colOff>713900</xdr:colOff>
      <xdr:row>19</xdr:row>
      <xdr:rowOff>132871</xdr:rowOff>
    </xdr:to>
    <xdr:grpSp>
      <xdr:nvGrpSpPr>
        <xdr:cNvPr id="33" name="Group 32">
          <a:extLst>
            <a:ext uri="{FF2B5EF4-FFF2-40B4-BE49-F238E27FC236}">
              <a16:creationId xmlns:a16="http://schemas.microsoft.com/office/drawing/2014/main" id="{BF384FAD-9118-4946-A0F0-008FCA0C7B78}"/>
            </a:ext>
          </a:extLst>
        </xdr:cNvPr>
        <xdr:cNvGrpSpPr/>
      </xdr:nvGrpSpPr>
      <xdr:grpSpPr>
        <a:xfrm>
          <a:off x="17514095" y="2655091"/>
          <a:ext cx="2011680" cy="1097280"/>
          <a:chOff x="17383126" y="2107404"/>
          <a:chExt cx="2011680" cy="1097280"/>
        </a:xfrm>
      </xdr:grpSpPr>
      <xdr:sp macro="" textlink="">
        <xdr:nvSpPr>
          <xdr:cNvPr id="17" name="Rectangle: Rounded Corners 16">
            <a:extLst>
              <a:ext uri="{FF2B5EF4-FFF2-40B4-BE49-F238E27FC236}">
                <a16:creationId xmlns:a16="http://schemas.microsoft.com/office/drawing/2014/main" id="{D25016A7-4C7F-44EA-B11D-1CC7B4E96796}"/>
              </a:ext>
            </a:extLst>
          </xdr:cNvPr>
          <xdr:cNvSpPr/>
        </xdr:nvSpPr>
        <xdr:spPr>
          <a:xfrm>
            <a:off x="17383126" y="2107404"/>
            <a:ext cx="2011680" cy="109728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V$6">
        <xdr:nvSpPr>
          <xdr:cNvPr id="18" name="TextBox 17">
            <a:extLst>
              <a:ext uri="{FF2B5EF4-FFF2-40B4-BE49-F238E27FC236}">
                <a16:creationId xmlns:a16="http://schemas.microsoft.com/office/drawing/2014/main" id="{15F7BBC8-FCC0-4BB9-9FA8-A4B6EF3E9F56}"/>
              </a:ext>
            </a:extLst>
          </xdr:cNvPr>
          <xdr:cNvSpPr txBox="1"/>
        </xdr:nvSpPr>
        <xdr:spPr>
          <a:xfrm>
            <a:off x="17573625" y="2655092"/>
            <a:ext cx="164592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CCD3DF-E9ED-4C57-B8CA-174FF3863C85}" type="TxLink">
              <a:rPr lang="en-US" sz="2400" b="1" i="0" u="none" strike="noStrike">
                <a:solidFill>
                  <a:srgbClr val="000000"/>
                </a:solidFill>
                <a:latin typeface="Calibri"/>
                <a:cs typeface="Calibri"/>
              </a:rPr>
              <a:pPr algn="ctr"/>
              <a:t>7928859.68</a:t>
            </a:fld>
            <a:endParaRPr lang="en-US" sz="23900" b="1" i="0" u="none" strike="noStrike">
              <a:solidFill>
                <a:srgbClr val="000000"/>
              </a:solidFill>
              <a:latin typeface="Calibri"/>
              <a:cs typeface="Calibri"/>
            </a:endParaRPr>
          </a:p>
        </xdr:txBody>
      </xdr:sp>
      <xdr:sp macro="" textlink="$V$6">
        <xdr:nvSpPr>
          <xdr:cNvPr id="26" name="TextBox 25">
            <a:extLst>
              <a:ext uri="{FF2B5EF4-FFF2-40B4-BE49-F238E27FC236}">
                <a16:creationId xmlns:a16="http://schemas.microsoft.com/office/drawing/2014/main" id="{C3854968-E5CB-4B41-948B-544F5D3930EE}"/>
              </a:ext>
            </a:extLst>
          </xdr:cNvPr>
          <xdr:cNvSpPr txBox="1"/>
        </xdr:nvSpPr>
        <xdr:spPr>
          <a:xfrm>
            <a:off x="17573626" y="2190748"/>
            <a:ext cx="164592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Calibri"/>
                <a:cs typeface="Calibri"/>
              </a:rPr>
              <a:t>Total_Sales</a:t>
            </a:r>
          </a:p>
        </xdr:txBody>
      </xdr:sp>
    </xdr:grpSp>
    <xdr:clientData/>
  </xdr:twoCellAnchor>
  <xdr:twoCellAnchor>
    <xdr:from>
      <xdr:col>13</xdr:col>
      <xdr:colOff>1202531</xdr:colOff>
      <xdr:row>22</xdr:row>
      <xdr:rowOff>11906</xdr:rowOff>
    </xdr:from>
    <xdr:to>
      <xdr:col>18</xdr:col>
      <xdr:colOff>47625</xdr:colOff>
      <xdr:row>27</xdr:row>
      <xdr:rowOff>0</xdr:rowOff>
    </xdr:to>
    <xdr:grpSp>
      <xdr:nvGrpSpPr>
        <xdr:cNvPr id="37" name="Group 36">
          <a:extLst>
            <a:ext uri="{FF2B5EF4-FFF2-40B4-BE49-F238E27FC236}">
              <a16:creationId xmlns:a16="http://schemas.microsoft.com/office/drawing/2014/main" id="{245C0DDA-D4E4-425C-B801-A2DFE73A2EC6}"/>
            </a:ext>
          </a:extLst>
        </xdr:cNvPr>
        <xdr:cNvGrpSpPr/>
      </xdr:nvGrpSpPr>
      <xdr:grpSpPr>
        <a:xfrm>
          <a:off x="11334750" y="4202906"/>
          <a:ext cx="3619500" cy="940594"/>
          <a:chOff x="11334750" y="4202906"/>
          <a:chExt cx="3619500" cy="940594"/>
        </a:xfrm>
      </xdr:grpSpPr>
      <xdr:sp macro="" textlink="">
        <xdr:nvSpPr>
          <xdr:cNvPr id="34" name="Rectangle 33">
            <a:extLst>
              <a:ext uri="{FF2B5EF4-FFF2-40B4-BE49-F238E27FC236}">
                <a16:creationId xmlns:a16="http://schemas.microsoft.com/office/drawing/2014/main" id="{4BF8C145-19C4-4423-BD07-D6E869F195BA}"/>
              </a:ext>
            </a:extLst>
          </xdr:cNvPr>
          <xdr:cNvSpPr/>
        </xdr:nvSpPr>
        <xdr:spPr>
          <a:xfrm>
            <a:off x="11334750" y="4202906"/>
            <a:ext cx="3619500" cy="94059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tx1"/>
                </a:solidFill>
              </a:rPr>
              <a:t>Sales</a:t>
            </a:r>
            <a:r>
              <a:rPr lang="en-US" sz="2400" b="1" baseline="0">
                <a:solidFill>
                  <a:schemeClr val="tx1"/>
                </a:solidFill>
              </a:rPr>
              <a:t> Performance Dashboard</a:t>
            </a:r>
            <a:endParaRPr lang="en-US" sz="2400" b="1">
              <a:solidFill>
                <a:schemeClr val="tx1"/>
              </a:solidFill>
            </a:endParaRPr>
          </a:p>
        </xdr:txBody>
      </xdr:sp>
      <xdr:pic>
        <xdr:nvPicPr>
          <xdr:cNvPr id="36" name="Graphic 35" descr="Bar graph with upward trend with solid fill">
            <a:extLst>
              <a:ext uri="{FF2B5EF4-FFF2-40B4-BE49-F238E27FC236}">
                <a16:creationId xmlns:a16="http://schemas.microsoft.com/office/drawing/2014/main" id="{D59E8398-161C-42AF-8E9D-1892C18CC27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4049375" y="4333875"/>
            <a:ext cx="723900" cy="7239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38100</xdr:rowOff>
    </xdr:from>
    <xdr:to>
      <xdr:col>21</xdr:col>
      <xdr:colOff>9525</xdr:colOff>
      <xdr:row>31</xdr:row>
      <xdr:rowOff>9525</xdr:rowOff>
    </xdr:to>
    <xdr:sp macro="" textlink="">
      <xdr:nvSpPr>
        <xdr:cNvPr id="2" name="Rectangle 1">
          <a:extLst>
            <a:ext uri="{FF2B5EF4-FFF2-40B4-BE49-F238E27FC236}">
              <a16:creationId xmlns:a16="http://schemas.microsoft.com/office/drawing/2014/main" id="{CD9E97AE-2DFA-49AE-A8C5-3E036A940EC7}"/>
            </a:ext>
          </a:extLst>
        </xdr:cNvPr>
        <xdr:cNvSpPr/>
      </xdr:nvSpPr>
      <xdr:spPr>
        <a:xfrm>
          <a:off x="47625" y="38100"/>
          <a:ext cx="12763500" cy="5876925"/>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RRRRR</a:t>
          </a:r>
        </a:p>
      </xdr:txBody>
    </xdr:sp>
    <xdr:clientData/>
  </xdr:twoCellAnchor>
  <xdr:twoCellAnchor>
    <xdr:from>
      <xdr:col>0</xdr:col>
      <xdr:colOff>19049</xdr:colOff>
      <xdr:row>0</xdr:row>
      <xdr:rowOff>9525</xdr:rowOff>
    </xdr:from>
    <xdr:to>
      <xdr:col>5</xdr:col>
      <xdr:colOff>262889</xdr:colOff>
      <xdr:row>5</xdr:row>
      <xdr:rowOff>108585</xdr:rowOff>
    </xdr:to>
    <xdr:grpSp>
      <xdr:nvGrpSpPr>
        <xdr:cNvPr id="3" name="Group 2">
          <a:extLst>
            <a:ext uri="{FF2B5EF4-FFF2-40B4-BE49-F238E27FC236}">
              <a16:creationId xmlns:a16="http://schemas.microsoft.com/office/drawing/2014/main" id="{6F17625E-5B56-4880-B4A2-120309F3BF81}"/>
            </a:ext>
          </a:extLst>
        </xdr:cNvPr>
        <xdr:cNvGrpSpPr/>
      </xdr:nvGrpSpPr>
      <xdr:grpSpPr>
        <a:xfrm>
          <a:off x="19049" y="9525"/>
          <a:ext cx="3291840" cy="1051560"/>
          <a:chOff x="11334750" y="4202906"/>
          <a:chExt cx="3573998" cy="1005840"/>
        </a:xfrm>
      </xdr:grpSpPr>
      <xdr:sp macro="" textlink="">
        <xdr:nvSpPr>
          <xdr:cNvPr id="4" name="Rectangle 3">
            <a:extLst>
              <a:ext uri="{FF2B5EF4-FFF2-40B4-BE49-F238E27FC236}">
                <a16:creationId xmlns:a16="http://schemas.microsoft.com/office/drawing/2014/main" id="{7FFF65D9-2A15-49BE-AD23-A9ADECFBD267}"/>
              </a:ext>
            </a:extLst>
          </xdr:cNvPr>
          <xdr:cNvSpPr/>
        </xdr:nvSpPr>
        <xdr:spPr>
          <a:xfrm>
            <a:off x="11334750" y="4202906"/>
            <a:ext cx="3573998" cy="100584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tx1"/>
                </a:solidFill>
              </a:rPr>
              <a:t>Sales</a:t>
            </a:r>
            <a:r>
              <a:rPr lang="en-US" sz="2400" b="1" baseline="0">
                <a:solidFill>
                  <a:schemeClr val="tx1"/>
                </a:solidFill>
              </a:rPr>
              <a:t> Performance Dashboard</a:t>
            </a:r>
            <a:endParaRPr lang="en-US" sz="2400" b="1">
              <a:solidFill>
                <a:schemeClr val="tx1"/>
              </a:solidFill>
            </a:endParaRPr>
          </a:p>
        </xdr:txBody>
      </xdr:sp>
      <xdr:pic>
        <xdr:nvPicPr>
          <xdr:cNvPr id="5" name="Graphic 4" descr="Bar graph with upward trend with solid fill">
            <a:extLst>
              <a:ext uri="{FF2B5EF4-FFF2-40B4-BE49-F238E27FC236}">
                <a16:creationId xmlns:a16="http://schemas.microsoft.com/office/drawing/2014/main" id="{DEC0225B-8453-4D76-8D25-6B0DA78EEB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4049375" y="4333875"/>
            <a:ext cx="723900" cy="723900"/>
          </a:xfrm>
          <a:prstGeom prst="rect">
            <a:avLst/>
          </a:prstGeom>
        </xdr:spPr>
      </xdr:pic>
    </xdr:grpSp>
    <xdr:clientData/>
  </xdr:twoCellAnchor>
  <xdr:twoCellAnchor>
    <xdr:from>
      <xdr:col>13</xdr:col>
      <xdr:colOff>116682</xdr:colOff>
      <xdr:row>0</xdr:row>
      <xdr:rowOff>45243</xdr:rowOff>
    </xdr:from>
    <xdr:to>
      <xdr:col>16</xdr:col>
      <xdr:colOff>528162</xdr:colOff>
      <xdr:row>5</xdr:row>
      <xdr:rowOff>98583</xdr:rowOff>
    </xdr:to>
    <xdr:grpSp>
      <xdr:nvGrpSpPr>
        <xdr:cNvPr id="10" name="Group 9">
          <a:extLst>
            <a:ext uri="{FF2B5EF4-FFF2-40B4-BE49-F238E27FC236}">
              <a16:creationId xmlns:a16="http://schemas.microsoft.com/office/drawing/2014/main" id="{C7677299-10AD-473A-A03B-CF40C1A510F5}"/>
            </a:ext>
          </a:extLst>
        </xdr:cNvPr>
        <xdr:cNvGrpSpPr/>
      </xdr:nvGrpSpPr>
      <xdr:grpSpPr>
        <a:xfrm>
          <a:off x="8041482" y="45243"/>
          <a:ext cx="2240280" cy="1005840"/>
          <a:chOff x="12942095" y="2666998"/>
          <a:chExt cx="2011680" cy="1097280"/>
        </a:xfrm>
      </xdr:grpSpPr>
      <xdr:sp macro="" textlink="">
        <xdr:nvSpPr>
          <xdr:cNvPr id="11" name="Rectangle: Rounded Corners 10">
            <a:extLst>
              <a:ext uri="{FF2B5EF4-FFF2-40B4-BE49-F238E27FC236}">
                <a16:creationId xmlns:a16="http://schemas.microsoft.com/office/drawing/2014/main" id="{37767F1D-B3BF-469C-86A8-64288CD7FDC6}"/>
              </a:ext>
            </a:extLst>
          </xdr:cNvPr>
          <xdr:cNvSpPr/>
        </xdr:nvSpPr>
        <xdr:spPr>
          <a:xfrm>
            <a:off x="12942095" y="2666998"/>
            <a:ext cx="2011680" cy="1097280"/>
          </a:xfrm>
          <a:prstGeom prst="roundRect">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2!$R$6">
        <xdr:nvSpPr>
          <xdr:cNvPr id="12" name="TextBox 11">
            <a:extLst>
              <a:ext uri="{FF2B5EF4-FFF2-40B4-BE49-F238E27FC236}">
                <a16:creationId xmlns:a16="http://schemas.microsoft.com/office/drawing/2014/main" id="{1F6D7883-5649-4CE2-886E-0CDF751F4C8B}"/>
              </a:ext>
            </a:extLst>
          </xdr:cNvPr>
          <xdr:cNvSpPr txBox="1"/>
        </xdr:nvSpPr>
        <xdr:spPr>
          <a:xfrm>
            <a:off x="13125263" y="3221770"/>
            <a:ext cx="1645920" cy="4572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4B39C0-2413-48F3-AC5B-B7BD577CCCDF}" type="TxLink">
              <a:rPr lang="en-US" sz="2400" b="1" i="0" u="none" strike="noStrike">
                <a:solidFill>
                  <a:srgbClr val="000000"/>
                </a:solidFill>
                <a:latin typeface="Calibri"/>
                <a:cs typeface="Calibri"/>
              </a:rPr>
              <a:pPr algn="ctr"/>
              <a:t>10229</a:t>
            </a:fld>
            <a:endParaRPr lang="en-US" sz="8800" b="1" i="0" u="none" strike="noStrike">
              <a:solidFill>
                <a:srgbClr val="000000"/>
              </a:solidFill>
              <a:latin typeface="Calibri"/>
              <a:cs typeface="Calibri"/>
            </a:endParaRPr>
          </a:p>
        </xdr:txBody>
      </xdr:sp>
      <xdr:sp macro="" textlink="$R$6">
        <xdr:nvSpPr>
          <xdr:cNvPr id="13" name="TextBox 12">
            <a:extLst>
              <a:ext uri="{FF2B5EF4-FFF2-40B4-BE49-F238E27FC236}">
                <a16:creationId xmlns:a16="http://schemas.microsoft.com/office/drawing/2014/main" id="{74458BC6-7866-41BD-9B86-A6B29D610423}"/>
              </a:ext>
            </a:extLst>
          </xdr:cNvPr>
          <xdr:cNvSpPr txBox="1"/>
        </xdr:nvSpPr>
        <xdr:spPr>
          <a:xfrm>
            <a:off x="13125263" y="2736657"/>
            <a:ext cx="1645920" cy="475488"/>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Calibri"/>
                <a:cs typeface="Calibri"/>
              </a:rPr>
              <a:t>Unit_Sold</a:t>
            </a:r>
          </a:p>
        </xdr:txBody>
      </xdr:sp>
    </xdr:grpSp>
    <xdr:clientData/>
  </xdr:twoCellAnchor>
  <xdr:twoCellAnchor>
    <xdr:from>
      <xdr:col>16</xdr:col>
      <xdr:colOff>597692</xdr:colOff>
      <xdr:row>0</xdr:row>
      <xdr:rowOff>47625</xdr:rowOff>
    </xdr:from>
    <xdr:to>
      <xdr:col>20</xdr:col>
      <xdr:colOff>536732</xdr:colOff>
      <xdr:row>5</xdr:row>
      <xdr:rowOff>100965</xdr:rowOff>
    </xdr:to>
    <xdr:grpSp>
      <xdr:nvGrpSpPr>
        <xdr:cNvPr id="14" name="Group 13">
          <a:extLst>
            <a:ext uri="{FF2B5EF4-FFF2-40B4-BE49-F238E27FC236}">
              <a16:creationId xmlns:a16="http://schemas.microsoft.com/office/drawing/2014/main" id="{89F52D54-B22B-4658-992E-A57A414DABA4}"/>
            </a:ext>
          </a:extLst>
        </xdr:cNvPr>
        <xdr:cNvGrpSpPr/>
      </xdr:nvGrpSpPr>
      <xdr:grpSpPr>
        <a:xfrm>
          <a:off x="10351292" y="47625"/>
          <a:ext cx="2377440" cy="1005840"/>
          <a:chOff x="14966157" y="1297780"/>
          <a:chExt cx="2011680" cy="1097280"/>
        </a:xfrm>
      </xdr:grpSpPr>
      <xdr:sp macro="" textlink="">
        <xdr:nvSpPr>
          <xdr:cNvPr id="15" name="Rectangle: Rounded Corners 14">
            <a:extLst>
              <a:ext uri="{FF2B5EF4-FFF2-40B4-BE49-F238E27FC236}">
                <a16:creationId xmlns:a16="http://schemas.microsoft.com/office/drawing/2014/main" id="{BCD40A72-CE1D-4A8B-8D46-0AFCBD347213}"/>
              </a:ext>
            </a:extLst>
          </xdr:cNvPr>
          <xdr:cNvSpPr/>
        </xdr:nvSpPr>
        <xdr:spPr>
          <a:xfrm>
            <a:off x="14966157" y="1297780"/>
            <a:ext cx="2011680" cy="1097280"/>
          </a:xfrm>
          <a:prstGeom prst="roundRect">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2!$T$6">
        <xdr:nvSpPr>
          <xdr:cNvPr id="16" name="TextBox 15">
            <a:extLst>
              <a:ext uri="{FF2B5EF4-FFF2-40B4-BE49-F238E27FC236}">
                <a16:creationId xmlns:a16="http://schemas.microsoft.com/office/drawing/2014/main" id="{EFD1A4B8-4E9B-401E-8CCC-D21BAAE79DBD}"/>
              </a:ext>
            </a:extLst>
          </xdr:cNvPr>
          <xdr:cNvSpPr txBox="1"/>
        </xdr:nvSpPr>
        <xdr:spPr>
          <a:xfrm>
            <a:off x="15082316" y="1854038"/>
            <a:ext cx="1779563" cy="4572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271189-6D5A-4170-932C-75C08C30DB27}" type="TxLink">
              <a:rPr lang="en-US" sz="2400" b="1" i="0" u="none" strike="noStrike">
                <a:solidFill>
                  <a:srgbClr val="000000"/>
                </a:solidFill>
                <a:latin typeface="Calibri"/>
                <a:cs typeface="Calibri"/>
              </a:rPr>
              <a:pPr algn="ctr"/>
              <a:t>7928.86</a:t>
            </a:fld>
            <a:endParaRPr lang="en-US" sz="23900" b="1" i="0" u="none" strike="noStrike">
              <a:solidFill>
                <a:srgbClr val="000000"/>
              </a:solidFill>
              <a:latin typeface="Calibri"/>
              <a:cs typeface="Calibri"/>
            </a:endParaRPr>
          </a:p>
        </xdr:txBody>
      </xdr:sp>
      <xdr:sp macro="" textlink="$T$6">
        <xdr:nvSpPr>
          <xdr:cNvPr id="17" name="TextBox 16">
            <a:extLst>
              <a:ext uri="{FF2B5EF4-FFF2-40B4-BE49-F238E27FC236}">
                <a16:creationId xmlns:a16="http://schemas.microsoft.com/office/drawing/2014/main" id="{440692C3-AB89-49CC-A202-564B98B09A18}"/>
              </a:ext>
            </a:extLst>
          </xdr:cNvPr>
          <xdr:cNvSpPr txBox="1"/>
        </xdr:nvSpPr>
        <xdr:spPr>
          <a:xfrm>
            <a:off x="15082316" y="1373979"/>
            <a:ext cx="1779563" cy="466344"/>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0000"/>
                </a:solidFill>
                <a:latin typeface="Calibri"/>
                <a:cs typeface="Calibri"/>
              </a:rPr>
              <a:t>Average</a:t>
            </a:r>
            <a:r>
              <a:rPr lang="en-US" sz="1600" b="1" i="0" u="none" strike="noStrike" baseline="0">
                <a:solidFill>
                  <a:srgbClr val="000000"/>
                </a:solidFill>
                <a:latin typeface="Calibri"/>
                <a:cs typeface="Calibri"/>
              </a:rPr>
              <a:t>_Order_Value</a:t>
            </a:r>
            <a:endParaRPr lang="en-US" sz="1600" b="1" i="0" u="none" strike="noStrike">
              <a:solidFill>
                <a:srgbClr val="000000"/>
              </a:solidFill>
              <a:latin typeface="Calibri"/>
              <a:cs typeface="Calibri"/>
            </a:endParaRPr>
          </a:p>
        </xdr:txBody>
      </xdr:sp>
    </xdr:grpSp>
    <xdr:clientData/>
  </xdr:twoCellAnchor>
  <xdr:twoCellAnchor>
    <xdr:from>
      <xdr:col>5</xdr:col>
      <xdr:colOff>357188</xdr:colOff>
      <xdr:row>0</xdr:row>
      <xdr:rowOff>47624</xdr:rowOff>
    </xdr:from>
    <xdr:to>
      <xdr:col>9</xdr:col>
      <xdr:colOff>159068</xdr:colOff>
      <xdr:row>5</xdr:row>
      <xdr:rowOff>100964</xdr:rowOff>
    </xdr:to>
    <xdr:grpSp>
      <xdr:nvGrpSpPr>
        <xdr:cNvPr id="18" name="Group 17">
          <a:extLst>
            <a:ext uri="{FF2B5EF4-FFF2-40B4-BE49-F238E27FC236}">
              <a16:creationId xmlns:a16="http://schemas.microsoft.com/office/drawing/2014/main" id="{F1E52367-8A85-4B15-94FB-67DBF9D9208C}"/>
            </a:ext>
          </a:extLst>
        </xdr:cNvPr>
        <xdr:cNvGrpSpPr/>
      </xdr:nvGrpSpPr>
      <xdr:grpSpPr>
        <a:xfrm>
          <a:off x="3405188" y="47624"/>
          <a:ext cx="2240280" cy="1005840"/>
          <a:chOff x="17383126" y="2107404"/>
          <a:chExt cx="2011680" cy="1097280"/>
        </a:xfrm>
      </xdr:grpSpPr>
      <xdr:sp macro="" textlink="">
        <xdr:nvSpPr>
          <xdr:cNvPr id="19" name="Rectangle: Rounded Corners 18">
            <a:extLst>
              <a:ext uri="{FF2B5EF4-FFF2-40B4-BE49-F238E27FC236}">
                <a16:creationId xmlns:a16="http://schemas.microsoft.com/office/drawing/2014/main" id="{BF197C2D-17E7-4579-8E9D-CC70D37D6371}"/>
              </a:ext>
            </a:extLst>
          </xdr:cNvPr>
          <xdr:cNvSpPr/>
        </xdr:nvSpPr>
        <xdr:spPr>
          <a:xfrm>
            <a:off x="17383126" y="2107404"/>
            <a:ext cx="2011680" cy="1097280"/>
          </a:xfrm>
          <a:prstGeom prst="roundRect">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2!$V$6">
        <xdr:nvSpPr>
          <xdr:cNvPr id="20" name="TextBox 19">
            <a:extLst>
              <a:ext uri="{FF2B5EF4-FFF2-40B4-BE49-F238E27FC236}">
                <a16:creationId xmlns:a16="http://schemas.microsoft.com/office/drawing/2014/main" id="{427EE77F-A0D9-44B3-9FFF-A6DB11B3E931}"/>
              </a:ext>
            </a:extLst>
          </xdr:cNvPr>
          <xdr:cNvSpPr txBox="1"/>
        </xdr:nvSpPr>
        <xdr:spPr>
          <a:xfrm>
            <a:off x="17573625" y="2655092"/>
            <a:ext cx="1645920" cy="4572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2778B0-DDB8-4C13-9590-CED78CA962F5}" type="TxLink">
              <a:rPr lang="en-US" sz="2400" b="1" i="0" u="none" strike="noStrike">
                <a:solidFill>
                  <a:srgbClr val="000000"/>
                </a:solidFill>
                <a:latin typeface="Calibri"/>
                <a:cs typeface="Calibri"/>
              </a:rPr>
              <a:pPr algn="ctr"/>
              <a:t>7928859.68</a:t>
            </a:fld>
            <a:endParaRPr lang="en-US" sz="71400" b="1" i="0" u="none" strike="noStrike">
              <a:solidFill>
                <a:srgbClr val="000000"/>
              </a:solidFill>
              <a:latin typeface="Calibri"/>
              <a:cs typeface="Calibri"/>
            </a:endParaRPr>
          </a:p>
        </xdr:txBody>
      </xdr:sp>
      <xdr:sp macro="" textlink="$V$6">
        <xdr:nvSpPr>
          <xdr:cNvPr id="21" name="TextBox 20">
            <a:extLst>
              <a:ext uri="{FF2B5EF4-FFF2-40B4-BE49-F238E27FC236}">
                <a16:creationId xmlns:a16="http://schemas.microsoft.com/office/drawing/2014/main" id="{06F27BB1-C82F-4294-859B-0B3A325AE036}"/>
              </a:ext>
            </a:extLst>
          </xdr:cNvPr>
          <xdr:cNvSpPr txBox="1"/>
        </xdr:nvSpPr>
        <xdr:spPr>
          <a:xfrm>
            <a:off x="17573626" y="2190748"/>
            <a:ext cx="1645920" cy="4572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Calibri"/>
                <a:cs typeface="Calibri"/>
              </a:rPr>
              <a:t>Total_Sales</a:t>
            </a:r>
          </a:p>
        </xdr:txBody>
      </xdr:sp>
    </xdr:grpSp>
    <xdr:clientData/>
  </xdr:twoCellAnchor>
  <xdr:twoCellAnchor>
    <xdr:from>
      <xdr:col>0</xdr:col>
      <xdr:colOff>38101</xdr:colOff>
      <xdr:row>5</xdr:row>
      <xdr:rowOff>152399</xdr:rowOff>
    </xdr:from>
    <xdr:to>
      <xdr:col>8</xdr:col>
      <xdr:colOff>190501</xdr:colOff>
      <xdr:row>17</xdr:row>
      <xdr:rowOff>152399</xdr:rowOff>
    </xdr:to>
    <xdr:graphicFrame macro="">
      <xdr:nvGraphicFramePr>
        <xdr:cNvPr id="22" name="Chart 21">
          <a:extLst>
            <a:ext uri="{FF2B5EF4-FFF2-40B4-BE49-F238E27FC236}">
              <a16:creationId xmlns:a16="http://schemas.microsoft.com/office/drawing/2014/main" id="{1CEC2394-E312-4318-884D-B3E819D77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209548</xdr:colOff>
      <xdr:row>5</xdr:row>
      <xdr:rowOff>152400</xdr:rowOff>
    </xdr:from>
    <xdr:to>
      <xdr:col>16</xdr:col>
      <xdr:colOff>361948</xdr:colOff>
      <xdr:row>17</xdr:row>
      <xdr:rowOff>152400</xdr:rowOff>
    </xdr:to>
    <xdr:graphicFrame macro="">
      <xdr:nvGraphicFramePr>
        <xdr:cNvPr id="23" name="Chart 22">
          <a:extLst>
            <a:ext uri="{FF2B5EF4-FFF2-40B4-BE49-F238E27FC236}">
              <a16:creationId xmlns:a16="http://schemas.microsoft.com/office/drawing/2014/main" id="{D62B11E9-E77F-4AD9-B2F9-7812439AE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18</xdr:row>
      <xdr:rowOff>0</xdr:rowOff>
    </xdr:from>
    <xdr:to>
      <xdr:col>8</xdr:col>
      <xdr:colOff>190500</xdr:colOff>
      <xdr:row>30</xdr:row>
      <xdr:rowOff>91440</xdr:rowOff>
    </xdr:to>
    <xdr:graphicFrame macro="">
      <xdr:nvGraphicFramePr>
        <xdr:cNvPr id="24" name="Chart 23">
          <a:extLst>
            <a:ext uri="{FF2B5EF4-FFF2-40B4-BE49-F238E27FC236}">
              <a16:creationId xmlns:a16="http://schemas.microsoft.com/office/drawing/2014/main" id="{028773DB-5CEC-4AF4-83DC-B9D5DDA35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209550</xdr:colOff>
      <xdr:row>18</xdr:row>
      <xdr:rowOff>0</xdr:rowOff>
    </xdr:from>
    <xdr:to>
      <xdr:col>16</xdr:col>
      <xdr:colOff>361950</xdr:colOff>
      <xdr:row>30</xdr:row>
      <xdr:rowOff>91440</xdr:rowOff>
    </xdr:to>
    <xdr:graphicFrame macro="">
      <xdr:nvGraphicFramePr>
        <xdr:cNvPr id="25" name="Chart 24">
          <a:extLst>
            <a:ext uri="{FF2B5EF4-FFF2-40B4-BE49-F238E27FC236}">
              <a16:creationId xmlns:a16="http://schemas.microsoft.com/office/drawing/2014/main" id="{3A273842-82E2-4CE9-BFAD-82D16C322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419100</xdr:colOff>
      <xdr:row>17</xdr:row>
      <xdr:rowOff>128587</xdr:rowOff>
    </xdr:from>
    <xdr:to>
      <xdr:col>20</xdr:col>
      <xdr:colOff>449580</xdr:colOff>
      <xdr:row>23</xdr:row>
      <xdr:rowOff>142875</xdr:rowOff>
    </xdr:to>
    <mc:AlternateContent xmlns:mc="http://schemas.openxmlformats.org/markup-compatibility/2006" xmlns:a14="http://schemas.microsoft.com/office/drawing/2010/main">
      <mc:Choice Requires="a14">
        <xdr:graphicFrame macro="">
          <xdr:nvGraphicFramePr>
            <xdr:cNvPr id="26" name="Product 1">
              <a:extLst>
                <a:ext uri="{FF2B5EF4-FFF2-40B4-BE49-F238E27FC236}">
                  <a16:creationId xmlns:a16="http://schemas.microsoft.com/office/drawing/2014/main" id="{07B5DE6D-56EA-478D-99E3-B93015BD340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172700" y="3367087"/>
              <a:ext cx="2468880" cy="1157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12</xdr:row>
      <xdr:rowOff>142874</xdr:rowOff>
    </xdr:from>
    <xdr:to>
      <xdr:col>20</xdr:col>
      <xdr:colOff>449580</xdr:colOff>
      <xdr:row>17</xdr:row>
      <xdr:rowOff>104774</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775A4735-FE0D-4082-9733-1636DA4F2D1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72700" y="2428874"/>
              <a:ext cx="24688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5</xdr:row>
      <xdr:rowOff>152400</xdr:rowOff>
    </xdr:from>
    <xdr:to>
      <xdr:col>20</xdr:col>
      <xdr:colOff>541020</xdr:colOff>
      <xdr:row>12</xdr:row>
      <xdr:rowOff>99060</xdr:rowOff>
    </xdr:to>
    <mc:AlternateContent xmlns:mc="http://schemas.openxmlformats.org/markup-compatibility/2006" xmlns:tsle="http://schemas.microsoft.com/office/drawing/2012/timeslicer">
      <mc:Choice Requires="tsle">
        <xdr:graphicFrame macro="">
          <xdr:nvGraphicFramePr>
            <xdr:cNvPr id="28" name="Date 1">
              <a:extLst>
                <a:ext uri="{FF2B5EF4-FFF2-40B4-BE49-F238E27FC236}">
                  <a16:creationId xmlns:a16="http://schemas.microsoft.com/office/drawing/2014/main" id="{7E721BDF-6A96-42DC-915A-2DAE60A1991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172700" y="1104900"/>
              <a:ext cx="2560320" cy="1280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428625</xdr:colOff>
      <xdr:row>23</xdr:row>
      <xdr:rowOff>171451</xdr:rowOff>
    </xdr:from>
    <xdr:to>
      <xdr:col>20</xdr:col>
      <xdr:colOff>459105</xdr:colOff>
      <xdr:row>30</xdr:row>
      <xdr:rowOff>0</xdr:rowOff>
    </xdr:to>
    <mc:AlternateContent xmlns:mc="http://schemas.openxmlformats.org/markup-compatibility/2006" xmlns:a14="http://schemas.microsoft.com/office/drawing/2010/main">
      <mc:Choice Requires="a14">
        <xdr:graphicFrame macro="">
          <xdr:nvGraphicFramePr>
            <xdr:cNvPr id="29" name="Sales_Rep 1">
              <a:extLst>
                <a:ext uri="{FF2B5EF4-FFF2-40B4-BE49-F238E27FC236}">
                  <a16:creationId xmlns:a16="http://schemas.microsoft.com/office/drawing/2014/main" id="{90F6C807-6FB0-4D12-A990-F83C2D4B4483}"/>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mlns="">
        <xdr:sp macro="" textlink="">
          <xdr:nvSpPr>
            <xdr:cNvPr id="0" name=""/>
            <xdr:cNvSpPr>
              <a:spLocks noTextEdit="1"/>
            </xdr:cNvSpPr>
          </xdr:nvSpPr>
          <xdr:spPr>
            <a:xfrm>
              <a:off x="10182225" y="4552951"/>
              <a:ext cx="246888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238125</xdr:colOff>
      <xdr:row>0</xdr:row>
      <xdr:rowOff>42863</xdr:rowOff>
    </xdr:from>
    <xdr:to>
      <xdr:col>13</xdr:col>
      <xdr:colOff>40005</xdr:colOff>
      <xdr:row>5</xdr:row>
      <xdr:rowOff>96203</xdr:rowOff>
    </xdr:to>
    <xdr:grpSp>
      <xdr:nvGrpSpPr>
        <xdr:cNvPr id="31" name="Group 30">
          <a:extLst>
            <a:ext uri="{FF2B5EF4-FFF2-40B4-BE49-F238E27FC236}">
              <a16:creationId xmlns:a16="http://schemas.microsoft.com/office/drawing/2014/main" id="{46608E5F-6E89-4666-B515-33A8A331CE32}"/>
            </a:ext>
          </a:extLst>
        </xdr:cNvPr>
        <xdr:cNvGrpSpPr/>
      </xdr:nvGrpSpPr>
      <xdr:grpSpPr>
        <a:xfrm>
          <a:off x="5724525" y="42863"/>
          <a:ext cx="2240280" cy="1005840"/>
          <a:chOff x="5619750" y="42863"/>
          <a:chExt cx="2240280" cy="1005840"/>
        </a:xfrm>
      </xdr:grpSpPr>
      <xdr:grpSp>
        <xdr:nvGrpSpPr>
          <xdr:cNvPr id="6" name="Group 5">
            <a:extLst>
              <a:ext uri="{FF2B5EF4-FFF2-40B4-BE49-F238E27FC236}">
                <a16:creationId xmlns:a16="http://schemas.microsoft.com/office/drawing/2014/main" id="{B2F87187-16C5-4494-BC7E-961180E9B209}"/>
              </a:ext>
            </a:extLst>
          </xdr:cNvPr>
          <xdr:cNvGrpSpPr/>
        </xdr:nvGrpSpPr>
        <xdr:grpSpPr>
          <a:xfrm>
            <a:off x="5619750" y="42863"/>
            <a:ext cx="2240280" cy="1005840"/>
            <a:chOff x="11310938" y="1369218"/>
            <a:chExt cx="2011680" cy="1097280"/>
          </a:xfrm>
        </xdr:grpSpPr>
        <xdr:sp macro="" textlink="">
          <xdr:nvSpPr>
            <xdr:cNvPr id="7" name="Rectangle: Rounded Corners 6">
              <a:extLst>
                <a:ext uri="{FF2B5EF4-FFF2-40B4-BE49-F238E27FC236}">
                  <a16:creationId xmlns:a16="http://schemas.microsoft.com/office/drawing/2014/main" id="{0DBCA399-C72E-46C4-BBC2-CE24B00185DF}"/>
                </a:ext>
              </a:extLst>
            </xdr:cNvPr>
            <xdr:cNvSpPr/>
          </xdr:nvSpPr>
          <xdr:spPr>
            <a:xfrm>
              <a:off x="11310938" y="1369218"/>
              <a:ext cx="2011680" cy="1097280"/>
            </a:xfrm>
            <a:prstGeom prst="roundRect">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a:solidFill>
                  <a:schemeClr val="bg1">
                    <a:lumMod val="50000"/>
                  </a:schemeClr>
                </a:solidFill>
              </a:endParaRPr>
            </a:p>
          </xdr:txBody>
        </xdr:sp>
        <xdr:sp macro="" textlink="Sheet2!$O$6">
          <xdr:nvSpPr>
            <xdr:cNvPr id="9" name="TextBox 8">
              <a:extLst>
                <a:ext uri="{FF2B5EF4-FFF2-40B4-BE49-F238E27FC236}">
                  <a16:creationId xmlns:a16="http://schemas.microsoft.com/office/drawing/2014/main" id="{69821812-9987-4012-A1C0-57BCE9159757}"/>
                </a:ext>
              </a:extLst>
            </xdr:cNvPr>
            <xdr:cNvSpPr txBox="1"/>
          </xdr:nvSpPr>
          <xdr:spPr>
            <a:xfrm>
              <a:off x="11489530" y="1916905"/>
              <a:ext cx="1645920" cy="457200"/>
            </a:xfrm>
            <a:prstGeom prst="rect">
              <a:avLst/>
            </a:prstGeom>
            <a:solidFill>
              <a:schemeClr val="bg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89E209-6815-4802-8E7B-FDDE21870E57}" type="TxLink">
                <a:rPr lang="en-US" sz="2400" b="1" i="0" u="none" strike="noStrike">
                  <a:solidFill>
                    <a:srgbClr val="000000"/>
                  </a:solidFill>
                  <a:latin typeface="Calibri"/>
                  <a:cs typeface="Calibri"/>
                </a:rPr>
                <a:pPr algn="ctr"/>
                <a:t>1000</a:t>
              </a:fld>
              <a:endParaRPr lang="en-US" sz="7200" b="1">
                <a:solidFill>
                  <a:schemeClr val="tx1"/>
                </a:solidFill>
              </a:endParaRPr>
            </a:p>
          </xdr:txBody>
        </xdr:sp>
      </xdr:grpSp>
      <xdr:sp macro="" textlink="">
        <xdr:nvSpPr>
          <xdr:cNvPr id="30" name="TextBox 29">
            <a:extLst>
              <a:ext uri="{FF2B5EF4-FFF2-40B4-BE49-F238E27FC236}">
                <a16:creationId xmlns:a16="http://schemas.microsoft.com/office/drawing/2014/main" id="{40724984-D40D-4FE6-B75D-B38AA65A4CD3}"/>
              </a:ext>
            </a:extLst>
          </xdr:cNvPr>
          <xdr:cNvSpPr txBox="1"/>
        </xdr:nvSpPr>
        <xdr:spPr>
          <a:xfrm>
            <a:off x="5819775" y="100013"/>
            <a:ext cx="1828800" cy="4206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solidFill>
              </a:rPr>
              <a:t>Total_Order</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8.517996180555" createdVersion="7" refreshedVersion="7" minRefreshableVersion="3" recordCount="1000" xr:uid="{654AE66B-6FE8-4539-8EA5-953927667827}">
  <cacheSource type="worksheet">
    <worksheetSource name="Table1_2"/>
  </cacheSource>
  <cacheFields count="9">
    <cacheField name="Order_ID" numFmtId="0">
      <sharedItems containsSemiMixedTypes="0" containsString="0" containsNumber="1" containsInteger="1" minValue="1001" maxValue="2000"/>
    </cacheField>
    <cacheField name="Date" numFmtId="14">
      <sharedItems containsSemiMixedTypes="0" containsNonDate="0" containsDate="1" containsString="0" minDate="2024-01-01T00:00:00" maxDate="2024-12-31T00:00:00" count="343">
        <d v="2024-08-09T00:00:00"/>
        <d v="2024-01-25T00:00:00"/>
        <d v="2024-10-31T00:00:00"/>
        <d v="2024-06-24T00:00:00"/>
        <d v="2024-11-15T00:00:00"/>
        <d v="2024-02-13T00:00:00"/>
        <d v="2024-01-09T00:00:00"/>
        <d v="2024-01-19T00:00:00"/>
        <d v="2024-04-11T00:00:00"/>
        <d v="2024-09-02T00:00:00"/>
        <d v="2024-09-08T00:00:00"/>
        <d v="2024-04-25T00:00:00"/>
        <d v="2024-06-01T00:00:00"/>
        <d v="2024-03-20T00:00:00"/>
        <d v="2024-11-21T00:00:00"/>
        <d v="2024-11-09T00:00:00"/>
        <d v="2024-07-22T00:00:00"/>
        <d v="2024-08-11T00:00:00"/>
        <d v="2024-08-27T00:00:00"/>
        <d v="2024-11-01T00:00:00"/>
        <d v="2024-03-21T00:00:00"/>
        <d v="2024-05-22T00:00:00"/>
        <d v="2024-11-16T00:00:00"/>
        <d v="2024-11-08T00:00:00"/>
        <d v="2024-05-03T00:00:00"/>
        <d v="2024-10-08T00:00:00"/>
        <d v="2024-01-05T00:00:00"/>
        <d v="2024-06-10T00:00:00"/>
        <d v="2024-09-10T00:00:00"/>
        <d v="2024-11-22T00:00:00"/>
        <d v="2024-10-28T00:00:00"/>
        <d v="2024-08-26T00:00:00"/>
        <d v="2024-05-18T00:00:00"/>
        <d v="2024-09-06T00:00:00"/>
        <d v="2024-09-21T00:00:00"/>
        <d v="2024-10-21T00:00:00"/>
        <d v="2024-11-18T00:00:00"/>
        <d v="2024-07-18T00:00:00"/>
        <d v="2024-12-21T00:00:00"/>
        <d v="2024-12-03T00:00:00"/>
        <d v="2024-11-20T00:00:00"/>
        <d v="2024-08-04T00:00:00"/>
        <d v="2024-05-20T00:00:00"/>
        <d v="2024-01-23T00:00:00"/>
        <d v="2024-07-11T00:00:00"/>
        <d v="2024-09-25T00:00:00"/>
        <d v="2024-08-06T00:00:00"/>
        <d v="2024-03-05T00:00:00"/>
        <d v="2024-11-03T00:00:00"/>
        <d v="2024-09-03T00:00:00"/>
        <d v="2024-01-10T00:00:00"/>
        <d v="2024-12-24T00:00:00"/>
        <d v="2024-10-16T00:00:00"/>
        <d v="2024-06-09T00:00:00"/>
        <d v="2024-02-17T00:00:00"/>
        <d v="2024-05-14T00:00:00"/>
        <d v="2024-02-21T00:00:00"/>
        <d v="2024-06-23T00:00:00"/>
        <d v="2024-07-29T00:00:00"/>
        <d v="2024-02-20T00:00:00"/>
        <d v="2024-05-07T00:00:00"/>
        <d v="2024-01-18T00:00:00"/>
        <d v="2024-07-09T00:00:00"/>
        <d v="2024-05-09T00:00:00"/>
        <d v="2024-03-23T00:00:00"/>
        <d v="2024-08-15T00:00:00"/>
        <d v="2024-07-02T00:00:00"/>
        <d v="2024-05-06T00:00:00"/>
        <d v="2024-09-27T00:00:00"/>
        <d v="2024-11-29T00:00:00"/>
        <d v="2024-07-21T00:00:00"/>
        <d v="2024-10-29T00:00:00"/>
        <d v="2024-11-28T00:00:00"/>
        <d v="2024-09-29T00:00:00"/>
        <d v="2024-07-24T00:00:00"/>
        <d v="2024-07-15T00:00:00"/>
        <d v="2024-01-03T00:00:00"/>
        <d v="2024-12-22T00:00:00"/>
        <d v="2024-05-10T00:00:00"/>
        <d v="2024-03-22T00:00:00"/>
        <d v="2024-11-24T00:00:00"/>
        <d v="2024-03-04T00:00:00"/>
        <d v="2024-09-01T00:00:00"/>
        <d v="2024-06-14T00:00:00"/>
        <d v="2024-09-19T00:00:00"/>
        <d v="2024-08-16T00:00:00"/>
        <d v="2024-05-02T00:00:00"/>
        <d v="2024-02-16T00:00:00"/>
        <d v="2024-03-13T00:00:00"/>
        <d v="2024-10-02T00:00:00"/>
        <d v="2024-02-27T00:00:00"/>
        <d v="2024-03-15T00:00:00"/>
        <d v="2024-06-20T00:00:00"/>
        <d v="2024-01-11T00:00:00"/>
        <d v="2024-01-07T00:00:00"/>
        <d v="2024-02-28T00:00:00"/>
        <d v="2024-04-28T00:00:00"/>
        <d v="2024-05-11T00:00:00"/>
        <d v="2024-03-10T00:00:00"/>
        <d v="2024-07-17T00:00:00"/>
        <d v="2024-02-01T00:00:00"/>
        <d v="2024-06-07T00:00:00"/>
        <d v="2024-10-06T00:00:00"/>
        <d v="2024-04-05T00:00:00"/>
        <d v="2024-12-10T00:00:00"/>
        <d v="2024-01-28T00:00:00"/>
        <d v="2024-08-21T00:00:00"/>
        <d v="2024-02-07T00:00:00"/>
        <d v="2024-10-20T00:00:00"/>
        <d v="2024-04-08T00:00:00"/>
        <d v="2024-03-09T00:00:00"/>
        <d v="2024-12-19T00:00:00"/>
        <d v="2024-08-20T00:00:00"/>
        <d v="2024-02-22T00:00:00"/>
        <d v="2024-02-29T00:00:00"/>
        <d v="2024-03-29T00:00:00"/>
        <d v="2024-11-07T00:00:00"/>
        <d v="2024-12-26T00:00:00"/>
        <d v="2024-01-24T00:00:00"/>
        <d v="2024-06-13T00:00:00"/>
        <d v="2024-07-28T00:00:00"/>
        <d v="2024-08-01T00:00:00"/>
        <d v="2024-01-02T00:00:00"/>
        <d v="2024-09-09T00:00:00"/>
        <d v="2024-07-01T00:00:00"/>
        <d v="2024-04-13T00:00:00"/>
        <d v="2024-06-30T00:00:00"/>
        <d v="2024-07-04T00:00:00"/>
        <d v="2024-04-22T00:00:00"/>
        <d v="2024-11-25T00:00:00"/>
        <d v="2024-10-14T00:00:00"/>
        <d v="2024-08-03T00:00:00"/>
        <d v="2024-08-24T00:00:00"/>
        <d v="2024-03-01T00:00:00"/>
        <d v="2024-05-31T00:00:00"/>
        <d v="2024-02-25T00:00:00"/>
        <d v="2024-01-01T00:00:00"/>
        <d v="2024-04-17T00:00:00"/>
        <d v="2024-10-24T00:00:00"/>
        <d v="2024-01-04T00:00:00"/>
        <d v="2024-09-13T00:00:00"/>
        <d v="2024-10-15T00:00:00"/>
        <d v="2024-07-19T00:00:00"/>
        <d v="2024-06-29T00:00:00"/>
        <d v="2024-09-14T00:00:00"/>
        <d v="2024-04-10T00:00:00"/>
        <d v="2024-11-26T00:00:00"/>
        <d v="2024-12-06T00:00:00"/>
        <d v="2024-02-15T00:00:00"/>
        <d v="2024-07-03T00:00:00"/>
        <d v="2024-09-05T00:00:00"/>
        <d v="2024-09-15T00:00:00"/>
        <d v="2024-06-03T00:00:00"/>
        <d v="2024-09-17T00:00:00"/>
        <d v="2024-05-19T00:00:00"/>
        <d v="2024-02-18T00:00:00"/>
        <d v="2024-07-08T00:00:00"/>
        <d v="2024-09-20T00:00:00"/>
        <d v="2024-12-27T00:00:00"/>
        <d v="2024-06-28T00:00:00"/>
        <d v="2024-10-09T00:00:00"/>
        <d v="2024-12-08T00:00:00"/>
        <d v="2024-03-19T00:00:00"/>
        <d v="2024-08-22T00:00:00"/>
        <d v="2024-07-13T00:00:00"/>
        <d v="2024-10-03T00:00:00"/>
        <d v="2024-11-19T00:00:00"/>
        <d v="2024-09-18T00:00:00"/>
        <d v="2024-01-27T00:00:00"/>
        <d v="2024-04-02T00:00:00"/>
        <d v="2024-10-01T00:00:00"/>
        <d v="2024-09-30T00:00:00"/>
        <d v="2024-03-03T00:00:00"/>
        <d v="2024-08-08T00:00:00"/>
        <d v="2024-05-23T00:00:00"/>
        <d v="2024-08-02T00:00:00"/>
        <d v="2024-04-20T00:00:00"/>
        <d v="2024-09-26T00:00:00"/>
        <d v="2024-02-12T00:00:00"/>
        <d v="2024-01-13T00:00:00"/>
        <d v="2024-06-18T00:00:00"/>
        <d v="2024-08-13T00:00:00"/>
        <d v="2024-04-04T00:00:00"/>
        <d v="2024-01-31T00:00:00"/>
        <d v="2024-09-23T00:00:00"/>
        <d v="2024-06-06T00:00:00"/>
        <d v="2024-07-05T00:00:00"/>
        <d v="2024-01-26T00:00:00"/>
        <d v="2024-02-06T00:00:00"/>
        <d v="2024-03-26T00:00:00"/>
        <d v="2024-12-11T00:00:00"/>
        <d v="2024-06-22T00:00:00"/>
        <d v="2024-11-11T00:00:00"/>
        <d v="2024-06-02T00:00:00"/>
        <d v="2024-12-01T00:00:00"/>
        <d v="2024-11-04T00:00:00"/>
        <d v="2024-03-02T00:00:00"/>
        <d v="2024-07-16T00:00:00"/>
        <d v="2024-07-12T00:00:00"/>
        <d v="2024-04-07T00:00:00"/>
        <d v="2024-08-05T00:00:00"/>
        <d v="2024-11-23T00:00:00"/>
        <d v="2024-09-04T00:00:00"/>
        <d v="2024-07-07T00:00:00"/>
        <d v="2024-10-22T00:00:00"/>
        <d v="2024-06-15T00:00:00"/>
        <d v="2024-02-05T00:00:00"/>
        <d v="2024-10-23T00:00:00"/>
        <d v="2024-06-17T00:00:00"/>
        <d v="2024-03-27T00:00:00"/>
        <d v="2024-12-15T00:00:00"/>
        <d v="2024-04-06T00:00:00"/>
        <d v="2024-02-02T00:00:00"/>
        <d v="2024-06-26T00:00:00"/>
        <d v="2024-01-30T00:00:00"/>
        <d v="2024-10-19T00:00:00"/>
        <d v="2024-05-15T00:00:00"/>
        <d v="2024-08-19T00:00:00"/>
        <d v="2024-02-23T00:00:00"/>
        <d v="2024-08-23T00:00:00"/>
        <d v="2024-02-03T00:00:00"/>
        <d v="2024-05-16T00:00:00"/>
        <d v="2024-04-18T00:00:00"/>
        <d v="2024-12-12T00:00:00"/>
        <d v="2024-10-07T00:00:00"/>
        <d v="2024-08-29T00:00:00"/>
        <d v="2024-12-13T00:00:00"/>
        <d v="2024-02-19T00:00:00"/>
        <d v="2024-10-26T00:00:00"/>
        <d v="2024-12-05T00:00:00"/>
        <d v="2024-06-11T00:00:00"/>
        <d v="2024-02-14T00:00:00"/>
        <d v="2024-04-09T00:00:00"/>
        <d v="2024-04-23T00:00:00"/>
        <d v="2024-01-29T00:00:00"/>
        <d v="2024-05-12T00:00:00"/>
        <d v="2024-06-16T00:00:00"/>
        <d v="2024-07-10T00:00:00"/>
        <d v="2024-08-10T00:00:00"/>
        <d v="2024-08-12T00:00:00"/>
        <d v="2024-06-12T00:00:00"/>
        <d v="2024-10-04T00:00:00"/>
        <d v="2024-01-15T00:00:00"/>
        <d v="2024-05-26T00:00:00"/>
        <d v="2024-03-17T00:00:00"/>
        <d v="2024-04-15T00:00:00"/>
        <d v="2024-09-22T00:00:00"/>
        <d v="2024-01-21T00:00:00"/>
        <d v="2024-03-30T00:00:00"/>
        <d v="2024-01-17T00:00:00"/>
        <d v="2024-12-29T00:00:00"/>
        <d v="2024-10-13T00:00:00"/>
        <d v="2024-11-27T00:00:00"/>
        <d v="2024-03-07T00:00:00"/>
        <d v="2024-11-30T00:00:00"/>
        <d v="2024-11-14T00:00:00"/>
        <d v="2024-02-26T00:00:00"/>
        <d v="2024-08-17T00:00:00"/>
        <d v="2024-09-16T00:00:00"/>
        <d v="2024-02-08T00:00:00"/>
        <d v="2024-03-24T00:00:00"/>
        <d v="2024-01-12T00:00:00"/>
        <d v="2024-08-31T00:00:00"/>
        <d v="2024-05-25T00:00:00"/>
        <d v="2024-08-14T00:00:00"/>
        <d v="2024-07-27T00:00:00"/>
        <d v="2024-05-17T00:00:00"/>
        <d v="2024-05-29T00:00:00"/>
        <d v="2024-09-11T00:00:00"/>
        <d v="2024-05-21T00:00:00"/>
        <d v="2024-12-25T00:00:00"/>
        <d v="2024-12-02T00:00:00"/>
        <d v="2024-07-20T00:00:00"/>
        <d v="2024-10-05T00:00:00"/>
        <d v="2024-06-25T00:00:00"/>
        <d v="2024-06-21T00:00:00"/>
        <d v="2024-06-08T00:00:00"/>
        <d v="2024-10-12T00:00:00"/>
        <d v="2024-04-01T00:00:00"/>
        <d v="2024-01-08T00:00:00"/>
        <d v="2024-12-17T00:00:00"/>
        <d v="2024-10-27T00:00:00"/>
        <d v="2024-11-10T00:00:00"/>
        <d v="2024-12-16T00:00:00"/>
        <d v="2024-05-30T00:00:00"/>
        <d v="2024-07-14T00:00:00"/>
        <d v="2024-12-23T00:00:00"/>
        <d v="2024-12-30T00:00:00"/>
        <d v="2024-05-27T00:00:00"/>
        <d v="2024-04-29T00:00:00"/>
        <d v="2024-04-19T00:00:00"/>
        <d v="2024-11-17T00:00:00"/>
        <d v="2024-10-30T00:00:00"/>
        <d v="2024-04-21T00:00:00"/>
        <d v="2024-05-28T00:00:00"/>
        <d v="2024-07-30T00:00:00"/>
        <d v="2024-07-26T00:00:00"/>
        <d v="2024-03-25T00:00:00"/>
        <d v="2024-11-12T00:00:00"/>
        <d v="2024-05-08T00:00:00"/>
        <d v="2024-05-04T00:00:00"/>
        <d v="2024-02-11T00:00:00"/>
        <d v="2024-04-26T00:00:00"/>
        <d v="2024-04-27T00:00:00"/>
        <d v="2024-06-27T00:00:00"/>
        <d v="2024-02-04T00:00:00"/>
        <d v="2024-01-14T00:00:00"/>
        <d v="2024-07-06T00:00:00"/>
        <d v="2024-07-31T00:00:00"/>
        <d v="2024-08-18T00:00:00"/>
        <d v="2024-05-13T00:00:00"/>
        <d v="2024-03-31T00:00:00"/>
        <d v="2024-07-23T00:00:00"/>
        <d v="2024-08-30T00:00:00"/>
        <d v="2024-12-14T00:00:00"/>
        <d v="2024-08-28T00:00:00"/>
        <d v="2024-01-06T00:00:00"/>
        <d v="2024-12-09T00:00:00"/>
        <d v="2024-06-05T00:00:00"/>
        <d v="2024-06-19T00:00:00"/>
        <d v="2024-04-12T00:00:00"/>
        <d v="2024-03-18T00:00:00"/>
        <d v="2024-06-04T00:00:00"/>
        <d v="2024-11-02T00:00:00"/>
        <d v="2024-10-25T00:00:00"/>
        <d v="2024-10-17T00:00:00"/>
        <d v="2024-11-05T00:00:00"/>
        <d v="2024-03-14T00:00:00"/>
        <d v="2024-05-05T00:00:00"/>
        <d v="2024-10-10T00:00:00"/>
        <d v="2024-10-11T00:00:00"/>
        <d v="2024-03-06T00:00:00"/>
        <d v="2024-03-16T00:00:00"/>
        <d v="2024-12-20T00:00:00"/>
        <d v="2024-04-14T00:00:00"/>
        <d v="2024-03-12T00:00:00"/>
        <d v="2024-02-24T00:00:00"/>
        <d v="2024-05-01T00:00:00"/>
        <d v="2024-12-28T00:00:00"/>
        <d v="2024-12-18T00:00:00"/>
        <d v="2024-02-10T00:00:00"/>
        <d v="2024-04-16T00:00:00"/>
        <d v="2024-09-24T00:00:00"/>
      </sharedItems>
      <fieldGroup par="8" base="1">
        <rangePr groupBy="days" startDate="2024-01-01T00:00:00" endDate="2024-12-3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4"/>
        </groupItems>
      </fieldGroup>
    </cacheField>
    <cacheField name="Product" numFmtId="0">
      <sharedItems count="5">
        <s v="Headphones"/>
        <s v="Mobile"/>
        <s v="Tablet"/>
        <s v="Monitor"/>
        <s v="Laptop"/>
      </sharedItems>
    </cacheField>
    <cacheField name="Region" numFmtId="0">
      <sharedItems count="4">
        <s v="East"/>
        <s v="North"/>
        <s v="West"/>
        <s v="South"/>
      </sharedItems>
    </cacheField>
    <cacheField name="Sales_Rep" numFmtId="0">
      <sharedItems count="5">
        <s v="Charlie"/>
        <s v="Bob"/>
        <s v="Alice"/>
        <s v="David"/>
        <s v="Emma"/>
      </sharedItems>
    </cacheField>
    <cacheField name="Units_Sold" numFmtId="0">
      <sharedItems containsSemiMixedTypes="0" containsString="0" containsNumber="1" containsInteger="1" minValue="1" maxValue="19"/>
    </cacheField>
    <cacheField name="Unit_Price" numFmtId="0">
      <sharedItems containsSemiMixedTypes="0" containsString="0" containsNumber="1" minValue="51.17" maxValue="1498.55"/>
    </cacheField>
    <cacheField name="Total_Sales" numFmtId="0">
      <sharedItems containsSemiMixedTypes="0" containsString="0" containsNumber="1" minValue="97.94" maxValue="27912.14"/>
    </cacheField>
    <cacheField name="Months" numFmtId="0" databaseField="0">
      <fieldGroup base="1">
        <rangePr groupBy="months" startDate="2024-01-01T00:00:00" endDate="2024-12-31T00:00:00"/>
        <groupItems count="14">
          <s v="&lt;1/1/2024"/>
          <s v="Jan"/>
          <s v="Feb"/>
          <s v="Mar"/>
          <s v="Apr"/>
          <s v="May"/>
          <s v="Jun"/>
          <s v="Jul"/>
          <s v="Aug"/>
          <s v="Sep"/>
          <s v="Oct"/>
          <s v="Nov"/>
          <s v="Dec"/>
          <s v="&gt;12/31/2024"/>
        </groupItems>
      </fieldGroup>
    </cacheField>
  </cacheFields>
  <extLst>
    <ext xmlns:x14="http://schemas.microsoft.com/office/spreadsheetml/2009/9/main" uri="{725AE2AE-9491-48be-B2B4-4EB974FC3084}">
      <x14:pivotCacheDefinition pivotCacheId="1778004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x v="0"/>
    <x v="0"/>
    <x v="0"/>
    <x v="0"/>
    <n v="18"/>
    <n v="64.72"/>
    <n v="1164.96"/>
  </r>
  <r>
    <n v="1002"/>
    <x v="1"/>
    <x v="1"/>
    <x v="0"/>
    <x v="1"/>
    <n v="1"/>
    <n v="627.14"/>
    <n v="627.14"/>
  </r>
  <r>
    <n v="1003"/>
    <x v="2"/>
    <x v="2"/>
    <x v="0"/>
    <x v="2"/>
    <n v="10"/>
    <n v="265.44"/>
    <n v="2654.4"/>
  </r>
  <r>
    <n v="1004"/>
    <x v="3"/>
    <x v="2"/>
    <x v="0"/>
    <x v="1"/>
    <n v="6"/>
    <n v="983.24"/>
    <n v="5899.4400000000014"/>
  </r>
  <r>
    <n v="1005"/>
    <x v="4"/>
    <x v="2"/>
    <x v="1"/>
    <x v="3"/>
    <n v="10"/>
    <n v="1336.99"/>
    <n v="13369.9"/>
  </r>
  <r>
    <n v="1006"/>
    <x v="5"/>
    <x v="3"/>
    <x v="2"/>
    <x v="1"/>
    <n v="11"/>
    <n v="804.65"/>
    <n v="8851.15"/>
  </r>
  <r>
    <n v="1007"/>
    <x v="6"/>
    <x v="4"/>
    <x v="0"/>
    <x v="0"/>
    <n v="3"/>
    <n v="1272.33"/>
    <n v="3816.99"/>
  </r>
  <r>
    <n v="1008"/>
    <x v="7"/>
    <x v="1"/>
    <x v="0"/>
    <x v="0"/>
    <n v="14"/>
    <n v="1149.95"/>
    <n v="16099.3"/>
  </r>
  <r>
    <n v="1009"/>
    <x v="8"/>
    <x v="1"/>
    <x v="1"/>
    <x v="3"/>
    <n v="4"/>
    <n v="943.1"/>
    <n v="3772.4"/>
  </r>
  <r>
    <n v="1010"/>
    <x v="9"/>
    <x v="1"/>
    <x v="2"/>
    <x v="0"/>
    <n v="5"/>
    <n v="897.09"/>
    <n v="4485.45"/>
  </r>
  <r>
    <n v="1011"/>
    <x v="10"/>
    <x v="3"/>
    <x v="3"/>
    <x v="0"/>
    <n v="2"/>
    <n v="766.02"/>
    <n v="1532.04"/>
  </r>
  <r>
    <n v="1012"/>
    <x v="11"/>
    <x v="0"/>
    <x v="0"/>
    <x v="0"/>
    <n v="9"/>
    <n v="823.96"/>
    <n v="7415.64"/>
  </r>
  <r>
    <n v="1013"/>
    <x v="12"/>
    <x v="4"/>
    <x v="2"/>
    <x v="2"/>
    <n v="17"/>
    <n v="1485"/>
    <n v="25245"/>
  </r>
  <r>
    <n v="1014"/>
    <x v="13"/>
    <x v="3"/>
    <x v="1"/>
    <x v="4"/>
    <n v="6"/>
    <n v="550.55999999999995"/>
    <n v="3303.36"/>
  </r>
  <r>
    <n v="1015"/>
    <x v="14"/>
    <x v="3"/>
    <x v="1"/>
    <x v="1"/>
    <n v="1"/>
    <n v="346.66"/>
    <n v="346.66"/>
  </r>
  <r>
    <n v="1016"/>
    <x v="15"/>
    <x v="0"/>
    <x v="1"/>
    <x v="1"/>
    <n v="14"/>
    <n v="415.45"/>
    <n v="5816.3"/>
  </r>
  <r>
    <n v="1017"/>
    <x v="16"/>
    <x v="4"/>
    <x v="1"/>
    <x v="0"/>
    <n v="12"/>
    <n v="405.58"/>
    <n v="4866.96"/>
  </r>
  <r>
    <n v="1018"/>
    <x v="17"/>
    <x v="2"/>
    <x v="0"/>
    <x v="1"/>
    <n v="2"/>
    <n v="1193.24"/>
    <n v="2386.48"/>
  </r>
  <r>
    <n v="1019"/>
    <x v="18"/>
    <x v="3"/>
    <x v="2"/>
    <x v="4"/>
    <n v="17"/>
    <n v="774.21"/>
    <n v="13161.57"/>
  </r>
  <r>
    <n v="1020"/>
    <x v="19"/>
    <x v="1"/>
    <x v="0"/>
    <x v="0"/>
    <n v="16"/>
    <n v="1440.18"/>
    <n v="23042.880000000001"/>
  </r>
  <r>
    <n v="1021"/>
    <x v="20"/>
    <x v="3"/>
    <x v="0"/>
    <x v="0"/>
    <n v="8"/>
    <n v="1065.2"/>
    <n v="8521.6"/>
  </r>
  <r>
    <n v="1022"/>
    <x v="21"/>
    <x v="3"/>
    <x v="2"/>
    <x v="1"/>
    <n v="11"/>
    <n v="1365.83"/>
    <n v="15024.13"/>
  </r>
  <r>
    <n v="1023"/>
    <x v="22"/>
    <x v="1"/>
    <x v="1"/>
    <x v="0"/>
    <n v="2"/>
    <n v="325.52999999999997"/>
    <n v="651.05999999999995"/>
  </r>
  <r>
    <n v="1024"/>
    <x v="23"/>
    <x v="4"/>
    <x v="3"/>
    <x v="0"/>
    <n v="14"/>
    <n v="381.29"/>
    <n v="5338.06"/>
  </r>
  <r>
    <n v="1025"/>
    <x v="24"/>
    <x v="1"/>
    <x v="1"/>
    <x v="2"/>
    <n v="8"/>
    <n v="452.66"/>
    <n v="3621.28"/>
  </r>
  <r>
    <n v="1026"/>
    <x v="25"/>
    <x v="1"/>
    <x v="0"/>
    <x v="2"/>
    <n v="5"/>
    <n v="569.89"/>
    <n v="2849.45"/>
  </r>
  <r>
    <n v="1027"/>
    <x v="16"/>
    <x v="4"/>
    <x v="0"/>
    <x v="1"/>
    <n v="5"/>
    <n v="1271.6199999999999"/>
    <n v="6358.0999999999995"/>
  </r>
  <r>
    <n v="1028"/>
    <x v="26"/>
    <x v="0"/>
    <x v="2"/>
    <x v="2"/>
    <n v="16"/>
    <n v="1172.26"/>
    <n v="18756.16"/>
  </r>
  <r>
    <n v="1029"/>
    <x v="4"/>
    <x v="0"/>
    <x v="0"/>
    <x v="4"/>
    <n v="1"/>
    <n v="307.38"/>
    <n v="307.38"/>
  </r>
  <r>
    <n v="1030"/>
    <x v="27"/>
    <x v="0"/>
    <x v="2"/>
    <x v="3"/>
    <n v="9"/>
    <n v="1279.04"/>
    <n v="11511.36"/>
  </r>
  <r>
    <n v="1031"/>
    <x v="28"/>
    <x v="4"/>
    <x v="0"/>
    <x v="2"/>
    <n v="6"/>
    <n v="276"/>
    <n v="1656"/>
  </r>
  <r>
    <n v="1032"/>
    <x v="29"/>
    <x v="1"/>
    <x v="3"/>
    <x v="0"/>
    <n v="2"/>
    <n v="1381.08"/>
    <n v="2762.16"/>
  </r>
  <r>
    <n v="1033"/>
    <x v="30"/>
    <x v="1"/>
    <x v="1"/>
    <x v="1"/>
    <n v="3"/>
    <n v="866.67"/>
    <n v="2600.0100000000002"/>
  </r>
  <r>
    <n v="1034"/>
    <x v="31"/>
    <x v="4"/>
    <x v="1"/>
    <x v="4"/>
    <n v="8"/>
    <n v="981.68"/>
    <n v="7853.44"/>
  </r>
  <r>
    <n v="1035"/>
    <x v="32"/>
    <x v="4"/>
    <x v="1"/>
    <x v="0"/>
    <n v="17"/>
    <n v="911.72"/>
    <n v="15499.24"/>
  </r>
  <r>
    <n v="1036"/>
    <x v="33"/>
    <x v="1"/>
    <x v="2"/>
    <x v="4"/>
    <n v="4"/>
    <n v="441.32"/>
    <n v="1765.28"/>
  </r>
  <r>
    <n v="1037"/>
    <x v="34"/>
    <x v="2"/>
    <x v="3"/>
    <x v="4"/>
    <n v="17"/>
    <n v="538.85"/>
    <n v="9160.4500000000007"/>
  </r>
  <r>
    <n v="1038"/>
    <x v="35"/>
    <x v="2"/>
    <x v="3"/>
    <x v="1"/>
    <n v="10"/>
    <n v="295.69"/>
    <n v="2956.9"/>
  </r>
  <r>
    <n v="1039"/>
    <x v="36"/>
    <x v="2"/>
    <x v="2"/>
    <x v="1"/>
    <n v="13"/>
    <n v="1154.3900000000001"/>
    <n v="15007.07"/>
  </r>
  <r>
    <n v="1040"/>
    <x v="37"/>
    <x v="0"/>
    <x v="0"/>
    <x v="0"/>
    <n v="4"/>
    <n v="321.76"/>
    <n v="1287.04"/>
  </r>
  <r>
    <n v="1041"/>
    <x v="38"/>
    <x v="2"/>
    <x v="1"/>
    <x v="3"/>
    <n v="8"/>
    <n v="1150.94"/>
    <n v="9207.52"/>
  </r>
  <r>
    <n v="1042"/>
    <x v="39"/>
    <x v="1"/>
    <x v="3"/>
    <x v="2"/>
    <n v="14"/>
    <n v="93.12"/>
    <n v="1303.68"/>
  </r>
  <r>
    <n v="1043"/>
    <x v="40"/>
    <x v="3"/>
    <x v="0"/>
    <x v="3"/>
    <n v="12"/>
    <n v="351.52"/>
    <n v="4218.24"/>
  </r>
  <r>
    <n v="1044"/>
    <x v="41"/>
    <x v="2"/>
    <x v="0"/>
    <x v="2"/>
    <n v="10"/>
    <n v="930.7"/>
    <n v="9307"/>
  </r>
  <r>
    <n v="1045"/>
    <x v="42"/>
    <x v="4"/>
    <x v="2"/>
    <x v="3"/>
    <n v="8"/>
    <n v="703.23"/>
    <n v="5625.84"/>
  </r>
  <r>
    <n v="1046"/>
    <x v="43"/>
    <x v="0"/>
    <x v="1"/>
    <x v="2"/>
    <n v="17"/>
    <n v="1428.89"/>
    <n v="24291.13"/>
  </r>
  <r>
    <n v="1047"/>
    <x v="44"/>
    <x v="1"/>
    <x v="2"/>
    <x v="1"/>
    <n v="16"/>
    <n v="294.82"/>
    <n v="4717.12"/>
  </r>
  <r>
    <n v="1048"/>
    <x v="45"/>
    <x v="4"/>
    <x v="2"/>
    <x v="2"/>
    <n v="8"/>
    <n v="1326.76"/>
    <n v="10614.08"/>
  </r>
  <r>
    <n v="1049"/>
    <x v="46"/>
    <x v="4"/>
    <x v="3"/>
    <x v="1"/>
    <n v="4"/>
    <n v="459.99"/>
    <n v="1839.96"/>
  </r>
  <r>
    <n v="1050"/>
    <x v="47"/>
    <x v="2"/>
    <x v="2"/>
    <x v="2"/>
    <n v="16"/>
    <n v="1449.63"/>
    <n v="23194.080000000002"/>
  </r>
  <r>
    <n v="1051"/>
    <x v="48"/>
    <x v="3"/>
    <x v="0"/>
    <x v="2"/>
    <n v="14"/>
    <n v="1388.93"/>
    <n v="19445.02"/>
  </r>
  <r>
    <n v="1052"/>
    <x v="14"/>
    <x v="2"/>
    <x v="0"/>
    <x v="2"/>
    <n v="11"/>
    <n v="373.41"/>
    <n v="4107.51"/>
  </r>
  <r>
    <n v="1053"/>
    <x v="49"/>
    <x v="2"/>
    <x v="0"/>
    <x v="4"/>
    <n v="11"/>
    <n v="546.16999999999996"/>
    <n v="6007.87"/>
  </r>
  <r>
    <n v="1054"/>
    <x v="50"/>
    <x v="4"/>
    <x v="2"/>
    <x v="0"/>
    <n v="14"/>
    <n v="1238.49"/>
    <n v="17338.86"/>
  </r>
  <r>
    <n v="1055"/>
    <x v="51"/>
    <x v="2"/>
    <x v="2"/>
    <x v="4"/>
    <n v="15"/>
    <n v="1103.04"/>
    <n v="16545.599999999999"/>
  </r>
  <r>
    <n v="1056"/>
    <x v="52"/>
    <x v="2"/>
    <x v="1"/>
    <x v="2"/>
    <n v="18"/>
    <n v="1174.48"/>
    <n v="21140.639999999999"/>
  </r>
  <r>
    <n v="1057"/>
    <x v="53"/>
    <x v="0"/>
    <x v="0"/>
    <x v="4"/>
    <n v="14"/>
    <n v="1404.68"/>
    <n v="19665.52"/>
  </r>
  <r>
    <n v="1058"/>
    <x v="54"/>
    <x v="0"/>
    <x v="1"/>
    <x v="1"/>
    <n v="16"/>
    <n v="66"/>
    <n v="1056"/>
  </r>
  <r>
    <n v="1059"/>
    <x v="55"/>
    <x v="4"/>
    <x v="2"/>
    <x v="2"/>
    <n v="6"/>
    <n v="1366.76"/>
    <n v="8200.56"/>
  </r>
  <r>
    <n v="1060"/>
    <x v="56"/>
    <x v="0"/>
    <x v="0"/>
    <x v="4"/>
    <n v="13"/>
    <n v="1330.92"/>
    <n v="17301.96"/>
  </r>
  <r>
    <n v="1061"/>
    <x v="57"/>
    <x v="0"/>
    <x v="2"/>
    <x v="4"/>
    <n v="10"/>
    <n v="1023.25"/>
    <n v="10232.5"/>
  </r>
  <r>
    <n v="1062"/>
    <x v="58"/>
    <x v="4"/>
    <x v="3"/>
    <x v="4"/>
    <n v="19"/>
    <n v="1061.51"/>
    <n v="20168.689999999999"/>
  </r>
  <r>
    <n v="1063"/>
    <x v="59"/>
    <x v="1"/>
    <x v="0"/>
    <x v="3"/>
    <n v="17"/>
    <n v="601.57000000000005"/>
    <n v="10226.69"/>
  </r>
  <r>
    <n v="1064"/>
    <x v="60"/>
    <x v="4"/>
    <x v="1"/>
    <x v="1"/>
    <n v="13"/>
    <n v="723.64"/>
    <n v="9407.32"/>
  </r>
  <r>
    <n v="1065"/>
    <x v="61"/>
    <x v="4"/>
    <x v="3"/>
    <x v="2"/>
    <n v="19"/>
    <n v="75.84"/>
    <n v="1440.96"/>
  </r>
  <r>
    <n v="1066"/>
    <x v="62"/>
    <x v="2"/>
    <x v="0"/>
    <x v="0"/>
    <n v="9"/>
    <n v="884.79"/>
    <n v="7963.11"/>
  </r>
  <r>
    <n v="1067"/>
    <x v="63"/>
    <x v="0"/>
    <x v="2"/>
    <x v="0"/>
    <n v="16"/>
    <n v="770.54"/>
    <n v="12328.64"/>
  </r>
  <r>
    <n v="1068"/>
    <x v="64"/>
    <x v="4"/>
    <x v="3"/>
    <x v="4"/>
    <n v="11"/>
    <n v="766.85"/>
    <n v="8435.35"/>
  </r>
  <r>
    <n v="1069"/>
    <x v="65"/>
    <x v="2"/>
    <x v="3"/>
    <x v="3"/>
    <n v="11"/>
    <n v="833.77"/>
    <n v="9171.4699999999993"/>
  </r>
  <r>
    <n v="1070"/>
    <x v="66"/>
    <x v="2"/>
    <x v="1"/>
    <x v="2"/>
    <n v="18"/>
    <n v="428.61"/>
    <n v="7714.98"/>
  </r>
  <r>
    <n v="1071"/>
    <x v="67"/>
    <x v="0"/>
    <x v="3"/>
    <x v="2"/>
    <n v="18"/>
    <n v="339.91"/>
    <n v="6118.38"/>
  </r>
  <r>
    <n v="1072"/>
    <x v="68"/>
    <x v="1"/>
    <x v="1"/>
    <x v="1"/>
    <n v="9"/>
    <n v="89.03"/>
    <n v="801.27"/>
  </r>
  <r>
    <n v="1073"/>
    <x v="69"/>
    <x v="1"/>
    <x v="0"/>
    <x v="3"/>
    <n v="4"/>
    <n v="419.26"/>
    <n v="1677.04"/>
  </r>
  <r>
    <n v="1074"/>
    <x v="70"/>
    <x v="0"/>
    <x v="0"/>
    <x v="4"/>
    <n v="3"/>
    <n v="1398.95"/>
    <n v="4196.8500000000004"/>
  </r>
  <r>
    <n v="1075"/>
    <x v="71"/>
    <x v="3"/>
    <x v="3"/>
    <x v="4"/>
    <n v="3"/>
    <n v="259.04000000000002"/>
    <n v="777.12000000000012"/>
  </r>
  <r>
    <n v="1076"/>
    <x v="72"/>
    <x v="4"/>
    <x v="1"/>
    <x v="4"/>
    <n v="5"/>
    <n v="301.2"/>
    <n v="1506"/>
  </r>
  <r>
    <n v="1077"/>
    <x v="73"/>
    <x v="4"/>
    <x v="2"/>
    <x v="2"/>
    <n v="7"/>
    <n v="489.05"/>
    <n v="3423.35"/>
  </r>
  <r>
    <n v="1078"/>
    <x v="74"/>
    <x v="2"/>
    <x v="1"/>
    <x v="1"/>
    <n v="5"/>
    <n v="1346.03"/>
    <n v="6730.15"/>
  </r>
  <r>
    <n v="1079"/>
    <x v="75"/>
    <x v="0"/>
    <x v="1"/>
    <x v="2"/>
    <n v="17"/>
    <n v="1355.68"/>
    <n v="23046.560000000001"/>
  </r>
  <r>
    <n v="1080"/>
    <x v="76"/>
    <x v="4"/>
    <x v="0"/>
    <x v="3"/>
    <n v="13"/>
    <n v="110.66"/>
    <n v="1438.58"/>
  </r>
  <r>
    <n v="1081"/>
    <x v="77"/>
    <x v="3"/>
    <x v="1"/>
    <x v="4"/>
    <n v="17"/>
    <n v="688.82"/>
    <n v="11709.94"/>
  </r>
  <r>
    <n v="1082"/>
    <x v="78"/>
    <x v="1"/>
    <x v="2"/>
    <x v="4"/>
    <n v="8"/>
    <n v="262.13"/>
    <n v="2097.04"/>
  </r>
  <r>
    <n v="1083"/>
    <x v="79"/>
    <x v="2"/>
    <x v="0"/>
    <x v="4"/>
    <n v="19"/>
    <n v="270.33"/>
    <n v="5136.2700000000004"/>
  </r>
  <r>
    <n v="1084"/>
    <x v="80"/>
    <x v="2"/>
    <x v="2"/>
    <x v="1"/>
    <n v="4"/>
    <n v="398.77"/>
    <n v="1595.08"/>
  </r>
  <r>
    <n v="1085"/>
    <x v="65"/>
    <x v="1"/>
    <x v="2"/>
    <x v="4"/>
    <n v="17"/>
    <n v="967.94"/>
    <n v="16454.98"/>
  </r>
  <r>
    <n v="1086"/>
    <x v="62"/>
    <x v="4"/>
    <x v="0"/>
    <x v="1"/>
    <n v="17"/>
    <n v="491.03"/>
    <n v="8347.51"/>
  </r>
  <r>
    <n v="1087"/>
    <x v="56"/>
    <x v="0"/>
    <x v="0"/>
    <x v="0"/>
    <n v="13"/>
    <n v="549.24"/>
    <n v="7140.12"/>
  </r>
  <r>
    <n v="1088"/>
    <x v="81"/>
    <x v="2"/>
    <x v="0"/>
    <x v="1"/>
    <n v="11"/>
    <n v="871.43"/>
    <n v="9585.73"/>
  </r>
  <r>
    <n v="1089"/>
    <x v="82"/>
    <x v="1"/>
    <x v="2"/>
    <x v="0"/>
    <n v="14"/>
    <n v="754.52"/>
    <n v="10563.28"/>
  </r>
  <r>
    <n v="1090"/>
    <x v="83"/>
    <x v="2"/>
    <x v="2"/>
    <x v="3"/>
    <n v="4"/>
    <n v="738.77"/>
    <n v="2955.08"/>
  </r>
  <r>
    <n v="1091"/>
    <x v="84"/>
    <x v="4"/>
    <x v="1"/>
    <x v="1"/>
    <n v="16"/>
    <n v="137.6"/>
    <n v="2201.6"/>
  </r>
  <r>
    <n v="1092"/>
    <x v="85"/>
    <x v="0"/>
    <x v="0"/>
    <x v="1"/>
    <n v="18"/>
    <n v="914.08"/>
    <n v="16453.439999999999"/>
  </r>
  <r>
    <n v="1093"/>
    <x v="86"/>
    <x v="3"/>
    <x v="0"/>
    <x v="0"/>
    <n v="6"/>
    <n v="449.8"/>
    <n v="2698.8"/>
  </r>
  <r>
    <n v="1094"/>
    <x v="86"/>
    <x v="4"/>
    <x v="0"/>
    <x v="4"/>
    <n v="6"/>
    <n v="371.85"/>
    <n v="2231.1"/>
  </r>
  <r>
    <n v="1095"/>
    <x v="27"/>
    <x v="3"/>
    <x v="1"/>
    <x v="3"/>
    <n v="2"/>
    <n v="640.83000000000004"/>
    <n v="1281.6600000000001"/>
  </r>
  <r>
    <n v="1096"/>
    <x v="87"/>
    <x v="1"/>
    <x v="0"/>
    <x v="1"/>
    <n v="9"/>
    <n v="1100.6300000000001"/>
    <n v="9905.6700000000019"/>
  </r>
  <r>
    <n v="1097"/>
    <x v="88"/>
    <x v="4"/>
    <x v="2"/>
    <x v="2"/>
    <n v="11"/>
    <n v="904.9"/>
    <n v="9953.9"/>
  </r>
  <r>
    <n v="1098"/>
    <x v="89"/>
    <x v="1"/>
    <x v="1"/>
    <x v="0"/>
    <n v="16"/>
    <n v="873.78"/>
    <n v="13980.48"/>
  </r>
  <r>
    <n v="1099"/>
    <x v="90"/>
    <x v="3"/>
    <x v="1"/>
    <x v="1"/>
    <n v="2"/>
    <n v="1045.7"/>
    <n v="2091.4"/>
  </r>
  <r>
    <n v="1100"/>
    <x v="0"/>
    <x v="0"/>
    <x v="3"/>
    <x v="1"/>
    <n v="11"/>
    <n v="380.06"/>
    <n v="4180.66"/>
  </r>
  <r>
    <n v="1101"/>
    <x v="91"/>
    <x v="3"/>
    <x v="0"/>
    <x v="1"/>
    <n v="4"/>
    <n v="531.73"/>
    <n v="2126.92"/>
  </r>
  <r>
    <n v="1102"/>
    <x v="40"/>
    <x v="4"/>
    <x v="0"/>
    <x v="4"/>
    <n v="15"/>
    <n v="749.52"/>
    <n v="11242.8"/>
  </r>
  <r>
    <n v="1103"/>
    <x v="92"/>
    <x v="4"/>
    <x v="3"/>
    <x v="3"/>
    <n v="17"/>
    <n v="870.82"/>
    <n v="14803.94"/>
  </r>
  <r>
    <n v="1104"/>
    <x v="93"/>
    <x v="4"/>
    <x v="3"/>
    <x v="1"/>
    <n v="7"/>
    <n v="130.68"/>
    <n v="914.76"/>
  </r>
  <r>
    <n v="1105"/>
    <x v="94"/>
    <x v="1"/>
    <x v="3"/>
    <x v="2"/>
    <n v="10"/>
    <n v="1214.49"/>
    <n v="12144.9"/>
  </r>
  <r>
    <n v="1106"/>
    <x v="95"/>
    <x v="0"/>
    <x v="2"/>
    <x v="2"/>
    <n v="12"/>
    <n v="51.17"/>
    <n v="614.04"/>
  </r>
  <r>
    <n v="1107"/>
    <x v="96"/>
    <x v="4"/>
    <x v="0"/>
    <x v="3"/>
    <n v="2"/>
    <n v="560.42999999999995"/>
    <n v="1120.8599999999999"/>
  </r>
  <r>
    <n v="1108"/>
    <x v="97"/>
    <x v="4"/>
    <x v="1"/>
    <x v="2"/>
    <n v="7"/>
    <n v="1469.62"/>
    <n v="10287.34"/>
  </r>
  <r>
    <n v="1109"/>
    <x v="98"/>
    <x v="2"/>
    <x v="2"/>
    <x v="3"/>
    <n v="12"/>
    <n v="1417.79"/>
    <n v="17013.48"/>
  </r>
  <r>
    <n v="1110"/>
    <x v="9"/>
    <x v="4"/>
    <x v="0"/>
    <x v="2"/>
    <n v="7"/>
    <n v="72.37"/>
    <n v="506.59"/>
  </r>
  <r>
    <n v="1111"/>
    <x v="99"/>
    <x v="1"/>
    <x v="0"/>
    <x v="4"/>
    <n v="14"/>
    <n v="807.39"/>
    <n v="11303.46"/>
  </r>
  <r>
    <n v="1112"/>
    <x v="100"/>
    <x v="4"/>
    <x v="1"/>
    <x v="1"/>
    <n v="1"/>
    <n v="1244.5999999999999"/>
    <n v="1244.5999999999999"/>
  </r>
  <r>
    <n v="1113"/>
    <x v="101"/>
    <x v="2"/>
    <x v="2"/>
    <x v="4"/>
    <n v="9"/>
    <n v="356.91"/>
    <n v="3212.19"/>
  </r>
  <r>
    <n v="1114"/>
    <x v="102"/>
    <x v="3"/>
    <x v="3"/>
    <x v="0"/>
    <n v="3"/>
    <n v="707.86"/>
    <n v="2123.58"/>
  </r>
  <r>
    <n v="1115"/>
    <x v="0"/>
    <x v="1"/>
    <x v="2"/>
    <x v="3"/>
    <n v="14"/>
    <n v="740.32"/>
    <n v="10364.48"/>
  </r>
  <r>
    <n v="1116"/>
    <x v="103"/>
    <x v="1"/>
    <x v="0"/>
    <x v="1"/>
    <n v="15"/>
    <n v="829.22"/>
    <n v="12438.3"/>
  </r>
  <r>
    <n v="1117"/>
    <x v="27"/>
    <x v="0"/>
    <x v="1"/>
    <x v="0"/>
    <n v="14"/>
    <n v="575.23"/>
    <n v="8053.22"/>
  </r>
  <r>
    <n v="1118"/>
    <x v="89"/>
    <x v="3"/>
    <x v="0"/>
    <x v="3"/>
    <n v="13"/>
    <n v="1026.97"/>
    <n v="13350.61"/>
  </r>
  <r>
    <n v="1119"/>
    <x v="104"/>
    <x v="0"/>
    <x v="1"/>
    <x v="0"/>
    <n v="15"/>
    <n v="146.33000000000001"/>
    <n v="2194.9499999999998"/>
  </r>
  <r>
    <n v="1120"/>
    <x v="105"/>
    <x v="2"/>
    <x v="1"/>
    <x v="0"/>
    <n v="12"/>
    <n v="1285.6500000000001"/>
    <n v="15427.8"/>
  </r>
  <r>
    <n v="1121"/>
    <x v="54"/>
    <x v="1"/>
    <x v="2"/>
    <x v="0"/>
    <n v="14"/>
    <n v="1483.19"/>
    <n v="20764.66"/>
  </r>
  <r>
    <n v="1122"/>
    <x v="40"/>
    <x v="0"/>
    <x v="0"/>
    <x v="2"/>
    <n v="7"/>
    <n v="397.32"/>
    <n v="2781.24"/>
  </r>
  <r>
    <n v="1123"/>
    <x v="106"/>
    <x v="1"/>
    <x v="1"/>
    <x v="3"/>
    <n v="9"/>
    <n v="1410.7"/>
    <n v="12696.3"/>
  </r>
  <r>
    <n v="1124"/>
    <x v="107"/>
    <x v="1"/>
    <x v="0"/>
    <x v="4"/>
    <n v="3"/>
    <n v="71.099999999999994"/>
    <n v="213.3"/>
  </r>
  <r>
    <n v="1125"/>
    <x v="108"/>
    <x v="4"/>
    <x v="3"/>
    <x v="0"/>
    <n v="4"/>
    <n v="731.95"/>
    <n v="2927.8"/>
  </r>
  <r>
    <n v="1126"/>
    <x v="109"/>
    <x v="3"/>
    <x v="1"/>
    <x v="4"/>
    <n v="18"/>
    <n v="822.44"/>
    <n v="14803.92"/>
  </r>
  <r>
    <n v="1127"/>
    <x v="110"/>
    <x v="2"/>
    <x v="1"/>
    <x v="2"/>
    <n v="4"/>
    <n v="236.32"/>
    <n v="945.28"/>
  </r>
  <r>
    <n v="1128"/>
    <x v="111"/>
    <x v="2"/>
    <x v="1"/>
    <x v="4"/>
    <n v="17"/>
    <n v="1167.3"/>
    <n v="19844.099999999999"/>
  </r>
  <r>
    <n v="1129"/>
    <x v="112"/>
    <x v="2"/>
    <x v="0"/>
    <x v="2"/>
    <n v="18"/>
    <n v="114.09"/>
    <n v="2053.62"/>
  </r>
  <r>
    <n v="1130"/>
    <x v="12"/>
    <x v="2"/>
    <x v="3"/>
    <x v="1"/>
    <n v="5"/>
    <n v="1469.03"/>
    <n v="7345.15"/>
  </r>
  <r>
    <n v="1131"/>
    <x v="113"/>
    <x v="4"/>
    <x v="2"/>
    <x v="4"/>
    <n v="8"/>
    <n v="770.99"/>
    <n v="6167.92"/>
  </r>
  <r>
    <n v="1132"/>
    <x v="78"/>
    <x v="0"/>
    <x v="2"/>
    <x v="4"/>
    <n v="4"/>
    <n v="322.86"/>
    <n v="1291.44"/>
  </r>
  <r>
    <n v="1133"/>
    <x v="114"/>
    <x v="3"/>
    <x v="2"/>
    <x v="2"/>
    <n v="17"/>
    <n v="1006.88"/>
    <n v="17116.96"/>
  </r>
  <r>
    <n v="1134"/>
    <x v="50"/>
    <x v="0"/>
    <x v="2"/>
    <x v="2"/>
    <n v="11"/>
    <n v="135.52000000000001"/>
    <n v="1490.72"/>
  </r>
  <r>
    <n v="1135"/>
    <x v="26"/>
    <x v="4"/>
    <x v="3"/>
    <x v="2"/>
    <n v="1"/>
    <n v="1352.17"/>
    <n v="1352.17"/>
  </r>
  <r>
    <n v="1136"/>
    <x v="100"/>
    <x v="4"/>
    <x v="1"/>
    <x v="1"/>
    <n v="15"/>
    <n v="1450.28"/>
    <n v="21754.2"/>
  </r>
  <r>
    <n v="1137"/>
    <x v="115"/>
    <x v="0"/>
    <x v="0"/>
    <x v="1"/>
    <n v="15"/>
    <n v="492.75"/>
    <n v="7391.25"/>
  </r>
  <r>
    <n v="1138"/>
    <x v="107"/>
    <x v="4"/>
    <x v="0"/>
    <x v="4"/>
    <n v="6"/>
    <n v="770.38"/>
    <n v="4622.28"/>
  </r>
  <r>
    <n v="1139"/>
    <x v="29"/>
    <x v="0"/>
    <x v="2"/>
    <x v="1"/>
    <n v="11"/>
    <n v="868.03"/>
    <n v="9548.33"/>
  </r>
  <r>
    <n v="1140"/>
    <x v="116"/>
    <x v="4"/>
    <x v="1"/>
    <x v="2"/>
    <n v="5"/>
    <n v="421.42"/>
    <n v="2107.1"/>
  </r>
  <r>
    <n v="1141"/>
    <x v="74"/>
    <x v="2"/>
    <x v="3"/>
    <x v="0"/>
    <n v="18"/>
    <n v="1333.77"/>
    <n v="24007.86"/>
  </r>
  <r>
    <n v="1142"/>
    <x v="117"/>
    <x v="1"/>
    <x v="0"/>
    <x v="0"/>
    <n v="15"/>
    <n v="1325.94"/>
    <n v="19889.099999999999"/>
  </r>
  <r>
    <n v="1143"/>
    <x v="5"/>
    <x v="3"/>
    <x v="0"/>
    <x v="3"/>
    <n v="10"/>
    <n v="973.14"/>
    <n v="9731.4"/>
  </r>
  <r>
    <n v="1144"/>
    <x v="118"/>
    <x v="3"/>
    <x v="3"/>
    <x v="3"/>
    <n v="16"/>
    <n v="740.77"/>
    <n v="11852.32"/>
  </r>
  <r>
    <n v="1145"/>
    <x v="119"/>
    <x v="4"/>
    <x v="1"/>
    <x v="3"/>
    <n v="18"/>
    <n v="1148.7"/>
    <n v="20676.599999999999"/>
  </r>
  <r>
    <n v="1146"/>
    <x v="64"/>
    <x v="3"/>
    <x v="0"/>
    <x v="2"/>
    <n v="7"/>
    <n v="1461.8"/>
    <n v="10232.6"/>
  </r>
  <r>
    <n v="1147"/>
    <x v="120"/>
    <x v="2"/>
    <x v="2"/>
    <x v="1"/>
    <n v="7"/>
    <n v="944.42"/>
    <n v="6610.94"/>
  </r>
  <r>
    <n v="1148"/>
    <x v="121"/>
    <x v="4"/>
    <x v="3"/>
    <x v="2"/>
    <n v="19"/>
    <n v="717.68"/>
    <n v="13635.92"/>
  </r>
  <r>
    <n v="1149"/>
    <x v="122"/>
    <x v="4"/>
    <x v="0"/>
    <x v="0"/>
    <n v="1"/>
    <n v="852.33"/>
    <n v="852.33"/>
  </r>
  <r>
    <n v="1150"/>
    <x v="123"/>
    <x v="0"/>
    <x v="2"/>
    <x v="2"/>
    <n v="1"/>
    <n v="1096.92"/>
    <n v="1096.92"/>
  </r>
  <r>
    <n v="1151"/>
    <x v="95"/>
    <x v="0"/>
    <x v="1"/>
    <x v="4"/>
    <n v="9"/>
    <n v="489.68"/>
    <n v="4407.12"/>
  </r>
  <r>
    <n v="1152"/>
    <x v="124"/>
    <x v="1"/>
    <x v="0"/>
    <x v="1"/>
    <n v="12"/>
    <n v="1496.1"/>
    <n v="17953.2"/>
  </r>
  <r>
    <n v="1153"/>
    <x v="125"/>
    <x v="0"/>
    <x v="0"/>
    <x v="0"/>
    <n v="11"/>
    <n v="1214.54"/>
    <n v="13359.94"/>
  </r>
  <r>
    <n v="1154"/>
    <x v="126"/>
    <x v="4"/>
    <x v="0"/>
    <x v="3"/>
    <n v="8"/>
    <n v="1142.6400000000001"/>
    <n v="9141.1200000000008"/>
  </r>
  <r>
    <n v="1155"/>
    <x v="116"/>
    <x v="1"/>
    <x v="1"/>
    <x v="1"/>
    <n v="6"/>
    <n v="1236.58"/>
    <n v="7419.48"/>
  </r>
  <r>
    <n v="1156"/>
    <x v="127"/>
    <x v="4"/>
    <x v="1"/>
    <x v="0"/>
    <n v="9"/>
    <n v="362.9"/>
    <n v="3266.1"/>
  </r>
  <r>
    <n v="1157"/>
    <x v="3"/>
    <x v="0"/>
    <x v="0"/>
    <x v="3"/>
    <n v="6"/>
    <n v="435.69"/>
    <n v="2614.14"/>
  </r>
  <r>
    <n v="1158"/>
    <x v="98"/>
    <x v="2"/>
    <x v="1"/>
    <x v="3"/>
    <n v="6"/>
    <n v="174.51"/>
    <n v="1047.06"/>
  </r>
  <r>
    <n v="1159"/>
    <x v="128"/>
    <x v="1"/>
    <x v="3"/>
    <x v="2"/>
    <n v="2"/>
    <n v="59.1"/>
    <n v="118.2"/>
  </r>
  <r>
    <n v="1160"/>
    <x v="129"/>
    <x v="2"/>
    <x v="2"/>
    <x v="0"/>
    <n v="7"/>
    <n v="533.47"/>
    <n v="3734.29"/>
  </r>
  <r>
    <n v="1161"/>
    <x v="130"/>
    <x v="4"/>
    <x v="0"/>
    <x v="0"/>
    <n v="17"/>
    <n v="135.49"/>
    <n v="2303.33"/>
  </r>
  <r>
    <n v="1162"/>
    <x v="10"/>
    <x v="0"/>
    <x v="3"/>
    <x v="2"/>
    <n v="9"/>
    <n v="350.99"/>
    <n v="3158.91"/>
  </r>
  <r>
    <n v="1163"/>
    <x v="131"/>
    <x v="2"/>
    <x v="2"/>
    <x v="2"/>
    <n v="17"/>
    <n v="1180.75"/>
    <n v="20072.75"/>
  </r>
  <r>
    <n v="1164"/>
    <x v="132"/>
    <x v="3"/>
    <x v="2"/>
    <x v="3"/>
    <n v="11"/>
    <n v="1127.8800000000001"/>
    <n v="12406.68"/>
  </r>
  <r>
    <n v="1165"/>
    <x v="133"/>
    <x v="0"/>
    <x v="1"/>
    <x v="4"/>
    <n v="19"/>
    <n v="582.25"/>
    <n v="11062.75"/>
  </r>
  <r>
    <n v="1166"/>
    <x v="42"/>
    <x v="1"/>
    <x v="3"/>
    <x v="2"/>
    <n v="7"/>
    <n v="689.25"/>
    <n v="4824.75"/>
  </r>
  <r>
    <n v="1167"/>
    <x v="134"/>
    <x v="3"/>
    <x v="1"/>
    <x v="3"/>
    <n v="18"/>
    <n v="578.67999999999995"/>
    <n v="10416.24"/>
  </r>
  <r>
    <n v="1168"/>
    <x v="132"/>
    <x v="0"/>
    <x v="0"/>
    <x v="1"/>
    <n v="9"/>
    <n v="292.83999999999997"/>
    <n v="2635.56"/>
  </r>
  <r>
    <n v="1169"/>
    <x v="135"/>
    <x v="1"/>
    <x v="0"/>
    <x v="3"/>
    <n v="16"/>
    <n v="1469.49"/>
    <n v="23511.84"/>
  </r>
  <r>
    <n v="1170"/>
    <x v="136"/>
    <x v="1"/>
    <x v="3"/>
    <x v="2"/>
    <n v="15"/>
    <n v="1129.0899999999999"/>
    <n v="16936.349999999999"/>
  </r>
  <r>
    <n v="1171"/>
    <x v="137"/>
    <x v="0"/>
    <x v="1"/>
    <x v="4"/>
    <n v="12"/>
    <n v="976.21"/>
    <n v="11714.52"/>
  </r>
  <r>
    <n v="1172"/>
    <x v="61"/>
    <x v="3"/>
    <x v="1"/>
    <x v="1"/>
    <n v="10"/>
    <n v="850.17"/>
    <n v="8501.6999999999989"/>
  </r>
  <r>
    <n v="1173"/>
    <x v="128"/>
    <x v="0"/>
    <x v="2"/>
    <x v="4"/>
    <n v="18"/>
    <n v="1103.3800000000001"/>
    <n v="19860.84"/>
  </r>
  <r>
    <n v="1174"/>
    <x v="138"/>
    <x v="3"/>
    <x v="2"/>
    <x v="0"/>
    <n v="8"/>
    <n v="1314.38"/>
    <n v="10515.04"/>
  </r>
  <r>
    <n v="1175"/>
    <x v="139"/>
    <x v="4"/>
    <x v="2"/>
    <x v="0"/>
    <n v="12"/>
    <n v="520.41999999999996"/>
    <n v="6245.0399999999991"/>
  </r>
  <r>
    <n v="1176"/>
    <x v="76"/>
    <x v="4"/>
    <x v="1"/>
    <x v="2"/>
    <n v="7"/>
    <n v="1134.45"/>
    <n v="7941.1500000000005"/>
  </r>
  <r>
    <n v="1177"/>
    <x v="140"/>
    <x v="1"/>
    <x v="1"/>
    <x v="3"/>
    <n v="2"/>
    <n v="676.64"/>
    <n v="1353.28"/>
  </r>
  <r>
    <n v="1178"/>
    <x v="3"/>
    <x v="3"/>
    <x v="3"/>
    <x v="4"/>
    <n v="17"/>
    <n v="498.56"/>
    <n v="8475.52"/>
  </r>
  <r>
    <n v="1179"/>
    <x v="141"/>
    <x v="1"/>
    <x v="1"/>
    <x v="0"/>
    <n v="5"/>
    <n v="376.18"/>
    <n v="1880.9"/>
  </r>
  <r>
    <n v="1180"/>
    <x v="48"/>
    <x v="2"/>
    <x v="1"/>
    <x v="2"/>
    <n v="16"/>
    <n v="843.06"/>
    <n v="13488.96"/>
  </r>
  <r>
    <n v="1181"/>
    <x v="142"/>
    <x v="2"/>
    <x v="3"/>
    <x v="1"/>
    <n v="11"/>
    <n v="1454.25"/>
    <n v="15996.75"/>
  </r>
  <r>
    <n v="1182"/>
    <x v="20"/>
    <x v="0"/>
    <x v="2"/>
    <x v="1"/>
    <n v="13"/>
    <n v="1477.61"/>
    <n v="19208.93"/>
  </r>
  <r>
    <n v="1183"/>
    <x v="143"/>
    <x v="4"/>
    <x v="3"/>
    <x v="1"/>
    <n v="14"/>
    <n v="1133.6300000000001"/>
    <n v="15870.82"/>
  </r>
  <r>
    <n v="1184"/>
    <x v="144"/>
    <x v="4"/>
    <x v="1"/>
    <x v="2"/>
    <n v="5"/>
    <n v="1190.73"/>
    <n v="5953.65"/>
  </r>
  <r>
    <n v="1185"/>
    <x v="145"/>
    <x v="4"/>
    <x v="3"/>
    <x v="1"/>
    <n v="6"/>
    <n v="739.31"/>
    <n v="4435.8599999999997"/>
  </r>
  <r>
    <n v="1186"/>
    <x v="146"/>
    <x v="1"/>
    <x v="3"/>
    <x v="0"/>
    <n v="17"/>
    <n v="599.96"/>
    <n v="10199.32"/>
  </r>
  <r>
    <n v="1187"/>
    <x v="21"/>
    <x v="1"/>
    <x v="2"/>
    <x v="0"/>
    <n v="10"/>
    <n v="736.48"/>
    <n v="7364.8"/>
  </r>
  <r>
    <n v="1188"/>
    <x v="74"/>
    <x v="2"/>
    <x v="3"/>
    <x v="0"/>
    <n v="17"/>
    <n v="1461.81"/>
    <n v="24850.77"/>
  </r>
  <r>
    <n v="1189"/>
    <x v="53"/>
    <x v="4"/>
    <x v="2"/>
    <x v="1"/>
    <n v="1"/>
    <n v="195.92"/>
    <n v="195.92"/>
  </r>
  <r>
    <n v="1190"/>
    <x v="42"/>
    <x v="0"/>
    <x v="0"/>
    <x v="3"/>
    <n v="8"/>
    <n v="1145.72"/>
    <n v="9165.76"/>
  </r>
  <r>
    <n v="1191"/>
    <x v="58"/>
    <x v="0"/>
    <x v="2"/>
    <x v="4"/>
    <n v="17"/>
    <n v="162.44999999999999"/>
    <n v="2761.65"/>
  </r>
  <r>
    <n v="1192"/>
    <x v="73"/>
    <x v="1"/>
    <x v="2"/>
    <x v="1"/>
    <n v="14"/>
    <n v="911.1"/>
    <n v="12755.4"/>
  </r>
  <r>
    <n v="1193"/>
    <x v="19"/>
    <x v="0"/>
    <x v="3"/>
    <x v="1"/>
    <n v="6"/>
    <n v="570"/>
    <n v="3420"/>
  </r>
  <r>
    <n v="1194"/>
    <x v="137"/>
    <x v="1"/>
    <x v="1"/>
    <x v="2"/>
    <n v="14"/>
    <n v="841.98"/>
    <n v="11787.72"/>
  </r>
  <r>
    <n v="1195"/>
    <x v="147"/>
    <x v="0"/>
    <x v="1"/>
    <x v="4"/>
    <n v="2"/>
    <n v="1302.67"/>
    <n v="2605.34"/>
  </r>
  <r>
    <n v="1196"/>
    <x v="118"/>
    <x v="1"/>
    <x v="2"/>
    <x v="4"/>
    <n v="3"/>
    <n v="1247.6099999999999"/>
    <n v="3742.83"/>
  </r>
  <r>
    <n v="1197"/>
    <x v="148"/>
    <x v="3"/>
    <x v="2"/>
    <x v="0"/>
    <n v="3"/>
    <n v="442.03"/>
    <n v="1326.09"/>
  </r>
  <r>
    <n v="1198"/>
    <x v="24"/>
    <x v="2"/>
    <x v="2"/>
    <x v="1"/>
    <n v="1"/>
    <n v="1354.63"/>
    <n v="1354.63"/>
  </r>
  <r>
    <n v="1199"/>
    <x v="131"/>
    <x v="1"/>
    <x v="3"/>
    <x v="0"/>
    <n v="12"/>
    <n v="1287.26"/>
    <n v="15447.12"/>
  </r>
  <r>
    <n v="1200"/>
    <x v="77"/>
    <x v="1"/>
    <x v="1"/>
    <x v="0"/>
    <n v="8"/>
    <n v="375.94"/>
    <n v="3007.52"/>
  </r>
  <r>
    <n v="1201"/>
    <x v="48"/>
    <x v="1"/>
    <x v="2"/>
    <x v="0"/>
    <n v="14"/>
    <n v="1205.06"/>
    <n v="16870.84"/>
  </r>
  <r>
    <n v="1202"/>
    <x v="149"/>
    <x v="1"/>
    <x v="1"/>
    <x v="4"/>
    <n v="18"/>
    <n v="1244.47"/>
    <n v="22400.46"/>
  </r>
  <r>
    <n v="1203"/>
    <x v="47"/>
    <x v="1"/>
    <x v="0"/>
    <x v="2"/>
    <n v="17"/>
    <n v="1217.47"/>
    <n v="20696.990000000002"/>
  </r>
  <r>
    <n v="1204"/>
    <x v="37"/>
    <x v="4"/>
    <x v="3"/>
    <x v="3"/>
    <n v="4"/>
    <n v="386.4"/>
    <n v="1545.6"/>
  </r>
  <r>
    <n v="1205"/>
    <x v="150"/>
    <x v="4"/>
    <x v="3"/>
    <x v="1"/>
    <n v="11"/>
    <n v="889.34"/>
    <n v="9782.74"/>
  </r>
  <r>
    <n v="1206"/>
    <x v="151"/>
    <x v="4"/>
    <x v="3"/>
    <x v="0"/>
    <n v="9"/>
    <n v="508.77"/>
    <n v="4578.93"/>
  </r>
  <r>
    <n v="1207"/>
    <x v="73"/>
    <x v="3"/>
    <x v="1"/>
    <x v="4"/>
    <n v="12"/>
    <n v="973.52"/>
    <n v="11682.24"/>
  </r>
  <r>
    <n v="1208"/>
    <x v="152"/>
    <x v="0"/>
    <x v="0"/>
    <x v="2"/>
    <n v="5"/>
    <n v="760.93"/>
    <n v="3804.65"/>
  </r>
  <r>
    <n v="1209"/>
    <x v="69"/>
    <x v="3"/>
    <x v="3"/>
    <x v="4"/>
    <n v="9"/>
    <n v="1286.44"/>
    <n v="11577.96"/>
  </r>
  <r>
    <n v="1210"/>
    <x v="153"/>
    <x v="3"/>
    <x v="1"/>
    <x v="4"/>
    <n v="7"/>
    <n v="445.7"/>
    <n v="3119.9"/>
  </r>
  <r>
    <n v="1211"/>
    <x v="87"/>
    <x v="0"/>
    <x v="1"/>
    <x v="4"/>
    <n v="10"/>
    <n v="546.29999999999995"/>
    <n v="5463"/>
  </r>
  <r>
    <n v="1212"/>
    <x v="154"/>
    <x v="2"/>
    <x v="1"/>
    <x v="1"/>
    <n v="16"/>
    <n v="1085.73"/>
    <n v="17371.68"/>
  </r>
  <r>
    <n v="1213"/>
    <x v="120"/>
    <x v="1"/>
    <x v="3"/>
    <x v="3"/>
    <n v="4"/>
    <n v="1319.34"/>
    <n v="5277.36"/>
  </r>
  <r>
    <n v="1214"/>
    <x v="155"/>
    <x v="0"/>
    <x v="2"/>
    <x v="1"/>
    <n v="14"/>
    <n v="1243.9100000000001"/>
    <n v="17414.740000000002"/>
  </r>
  <r>
    <n v="1215"/>
    <x v="156"/>
    <x v="1"/>
    <x v="2"/>
    <x v="2"/>
    <n v="14"/>
    <n v="338.96"/>
    <n v="4745.4399999999996"/>
  </r>
  <r>
    <n v="1216"/>
    <x v="73"/>
    <x v="4"/>
    <x v="2"/>
    <x v="2"/>
    <n v="10"/>
    <n v="361.21"/>
    <n v="3612.1"/>
  </r>
  <r>
    <n v="1217"/>
    <x v="103"/>
    <x v="1"/>
    <x v="1"/>
    <x v="3"/>
    <n v="14"/>
    <n v="1492.59"/>
    <n v="20896.259999999998"/>
  </r>
  <r>
    <n v="1218"/>
    <x v="134"/>
    <x v="0"/>
    <x v="2"/>
    <x v="2"/>
    <n v="8"/>
    <n v="217.46"/>
    <n v="1739.68"/>
  </r>
  <r>
    <n v="1219"/>
    <x v="90"/>
    <x v="1"/>
    <x v="2"/>
    <x v="0"/>
    <n v="13"/>
    <n v="1252.3900000000001"/>
    <n v="16281.07"/>
  </r>
  <r>
    <n v="1220"/>
    <x v="157"/>
    <x v="1"/>
    <x v="1"/>
    <x v="4"/>
    <n v="11"/>
    <n v="534.15"/>
    <n v="5875.65"/>
  </r>
  <r>
    <n v="1221"/>
    <x v="89"/>
    <x v="4"/>
    <x v="1"/>
    <x v="4"/>
    <n v="9"/>
    <n v="716.05"/>
    <n v="6444.45"/>
  </r>
  <r>
    <n v="1222"/>
    <x v="158"/>
    <x v="2"/>
    <x v="2"/>
    <x v="4"/>
    <n v="10"/>
    <n v="606.53"/>
    <n v="6065.2999999999993"/>
  </r>
  <r>
    <n v="1223"/>
    <x v="159"/>
    <x v="1"/>
    <x v="2"/>
    <x v="1"/>
    <n v="7"/>
    <n v="838.45"/>
    <n v="5869.1500000000005"/>
  </r>
  <r>
    <n v="1224"/>
    <x v="55"/>
    <x v="0"/>
    <x v="0"/>
    <x v="1"/>
    <n v="4"/>
    <n v="1239.9000000000001"/>
    <n v="4959.6000000000004"/>
  </r>
  <r>
    <n v="1225"/>
    <x v="6"/>
    <x v="0"/>
    <x v="0"/>
    <x v="4"/>
    <n v="12"/>
    <n v="60.16"/>
    <n v="721.92"/>
  </r>
  <r>
    <n v="1226"/>
    <x v="160"/>
    <x v="3"/>
    <x v="2"/>
    <x v="4"/>
    <n v="5"/>
    <n v="90.71"/>
    <n v="453.55"/>
  </r>
  <r>
    <n v="1227"/>
    <x v="161"/>
    <x v="1"/>
    <x v="3"/>
    <x v="0"/>
    <n v="12"/>
    <n v="528.64"/>
    <n v="6343.68"/>
  </r>
  <r>
    <n v="1228"/>
    <x v="162"/>
    <x v="3"/>
    <x v="2"/>
    <x v="4"/>
    <n v="16"/>
    <n v="1170"/>
    <n v="18720"/>
  </r>
  <r>
    <n v="1229"/>
    <x v="163"/>
    <x v="1"/>
    <x v="0"/>
    <x v="0"/>
    <n v="9"/>
    <n v="760.64"/>
    <n v="6845.76"/>
  </r>
  <r>
    <n v="1230"/>
    <x v="103"/>
    <x v="1"/>
    <x v="3"/>
    <x v="4"/>
    <n v="11"/>
    <n v="1122.76"/>
    <n v="12350.36"/>
  </r>
  <r>
    <n v="1231"/>
    <x v="164"/>
    <x v="1"/>
    <x v="3"/>
    <x v="1"/>
    <n v="11"/>
    <n v="327.73"/>
    <n v="3605.03"/>
  </r>
  <r>
    <n v="1232"/>
    <x v="165"/>
    <x v="3"/>
    <x v="2"/>
    <x v="1"/>
    <n v="3"/>
    <n v="436.57"/>
    <n v="1309.71"/>
  </r>
  <r>
    <n v="1233"/>
    <x v="166"/>
    <x v="2"/>
    <x v="1"/>
    <x v="1"/>
    <n v="12"/>
    <n v="301.7"/>
    <n v="3620.4"/>
  </r>
  <r>
    <n v="1234"/>
    <x v="71"/>
    <x v="3"/>
    <x v="2"/>
    <x v="3"/>
    <n v="19"/>
    <n v="1197.48"/>
    <n v="22752.12"/>
  </r>
  <r>
    <n v="1235"/>
    <x v="135"/>
    <x v="1"/>
    <x v="2"/>
    <x v="1"/>
    <n v="9"/>
    <n v="1135.45"/>
    <n v="10219.049999999999"/>
  </r>
  <r>
    <n v="1236"/>
    <x v="167"/>
    <x v="1"/>
    <x v="1"/>
    <x v="2"/>
    <n v="8"/>
    <n v="94.67"/>
    <n v="757.36"/>
  </r>
  <r>
    <n v="1237"/>
    <x v="168"/>
    <x v="1"/>
    <x v="2"/>
    <x v="2"/>
    <n v="14"/>
    <n v="1109.17"/>
    <n v="15528.38"/>
  </r>
  <r>
    <n v="1238"/>
    <x v="169"/>
    <x v="0"/>
    <x v="0"/>
    <x v="3"/>
    <n v="8"/>
    <n v="1032.71"/>
    <n v="8261.68"/>
  </r>
  <r>
    <n v="1239"/>
    <x v="170"/>
    <x v="2"/>
    <x v="0"/>
    <x v="2"/>
    <n v="5"/>
    <n v="1018"/>
    <n v="5090"/>
  </r>
  <r>
    <n v="1240"/>
    <x v="60"/>
    <x v="0"/>
    <x v="0"/>
    <x v="3"/>
    <n v="17"/>
    <n v="459.4"/>
    <n v="7809.7999999999993"/>
  </r>
  <r>
    <n v="1241"/>
    <x v="171"/>
    <x v="3"/>
    <x v="0"/>
    <x v="1"/>
    <n v="15"/>
    <n v="515.72"/>
    <n v="7735.8"/>
  </r>
  <r>
    <n v="1242"/>
    <x v="172"/>
    <x v="0"/>
    <x v="3"/>
    <x v="2"/>
    <n v="6"/>
    <n v="806.89"/>
    <n v="4841.34"/>
  </r>
  <r>
    <n v="1243"/>
    <x v="83"/>
    <x v="0"/>
    <x v="2"/>
    <x v="2"/>
    <n v="14"/>
    <n v="728.34"/>
    <n v="10196.76"/>
  </r>
  <r>
    <n v="1244"/>
    <x v="173"/>
    <x v="0"/>
    <x v="1"/>
    <x v="3"/>
    <n v="8"/>
    <n v="1081.42"/>
    <n v="8651.36"/>
  </r>
  <r>
    <n v="1245"/>
    <x v="174"/>
    <x v="4"/>
    <x v="0"/>
    <x v="4"/>
    <n v="17"/>
    <n v="386.6"/>
    <n v="6572.2000000000007"/>
  </r>
  <r>
    <n v="1246"/>
    <x v="175"/>
    <x v="0"/>
    <x v="1"/>
    <x v="2"/>
    <n v="1"/>
    <n v="1118.01"/>
    <n v="1118.01"/>
  </r>
  <r>
    <n v="1247"/>
    <x v="88"/>
    <x v="1"/>
    <x v="0"/>
    <x v="4"/>
    <n v="10"/>
    <n v="782.17"/>
    <n v="7821.7"/>
  </r>
  <r>
    <n v="1248"/>
    <x v="41"/>
    <x v="2"/>
    <x v="2"/>
    <x v="1"/>
    <n v="17"/>
    <n v="710.32"/>
    <n v="12075.44"/>
  </r>
  <r>
    <n v="1249"/>
    <x v="54"/>
    <x v="1"/>
    <x v="3"/>
    <x v="1"/>
    <n v="19"/>
    <n v="1134.43"/>
    <n v="21554.17"/>
  </r>
  <r>
    <n v="1250"/>
    <x v="176"/>
    <x v="1"/>
    <x v="1"/>
    <x v="3"/>
    <n v="13"/>
    <n v="305.27999999999997"/>
    <n v="3968.639999999999"/>
  </r>
  <r>
    <n v="1251"/>
    <x v="177"/>
    <x v="3"/>
    <x v="2"/>
    <x v="4"/>
    <n v="4"/>
    <n v="319.91000000000003"/>
    <n v="1279.6400000000001"/>
  </r>
  <r>
    <n v="1252"/>
    <x v="178"/>
    <x v="4"/>
    <x v="0"/>
    <x v="0"/>
    <n v="1"/>
    <n v="143.74"/>
    <n v="143.74"/>
  </r>
  <r>
    <n v="1253"/>
    <x v="136"/>
    <x v="1"/>
    <x v="0"/>
    <x v="0"/>
    <n v="18"/>
    <n v="100.93"/>
    <n v="1816.74"/>
  </r>
  <r>
    <n v="1254"/>
    <x v="179"/>
    <x v="0"/>
    <x v="1"/>
    <x v="1"/>
    <n v="17"/>
    <n v="1179.8599999999999"/>
    <n v="20057.62"/>
  </r>
  <r>
    <n v="1255"/>
    <x v="137"/>
    <x v="3"/>
    <x v="0"/>
    <x v="0"/>
    <n v="16"/>
    <n v="1087.7"/>
    <n v="17403.2"/>
  </r>
  <r>
    <n v="1256"/>
    <x v="180"/>
    <x v="4"/>
    <x v="2"/>
    <x v="3"/>
    <n v="16"/>
    <n v="583.07000000000005"/>
    <n v="9329.1200000000008"/>
  </r>
  <r>
    <n v="1257"/>
    <x v="115"/>
    <x v="3"/>
    <x v="3"/>
    <x v="0"/>
    <n v="7"/>
    <n v="96.69"/>
    <n v="676.82999999999993"/>
  </r>
  <r>
    <n v="1258"/>
    <x v="181"/>
    <x v="2"/>
    <x v="3"/>
    <x v="4"/>
    <n v="16"/>
    <n v="1470.54"/>
    <n v="23528.639999999999"/>
  </r>
  <r>
    <n v="1259"/>
    <x v="7"/>
    <x v="2"/>
    <x v="3"/>
    <x v="1"/>
    <n v="12"/>
    <n v="530.97"/>
    <n v="6371.64"/>
  </r>
  <r>
    <n v="1260"/>
    <x v="123"/>
    <x v="1"/>
    <x v="3"/>
    <x v="3"/>
    <n v="18"/>
    <n v="192.85"/>
    <n v="3471.3"/>
  </r>
  <r>
    <n v="1261"/>
    <x v="182"/>
    <x v="1"/>
    <x v="0"/>
    <x v="3"/>
    <n v="7"/>
    <n v="915.54"/>
    <n v="6408.78"/>
  </r>
  <r>
    <n v="1262"/>
    <x v="183"/>
    <x v="1"/>
    <x v="0"/>
    <x v="4"/>
    <n v="18"/>
    <n v="543.25"/>
    <n v="9778.5"/>
  </r>
  <r>
    <n v="1263"/>
    <x v="184"/>
    <x v="1"/>
    <x v="1"/>
    <x v="1"/>
    <n v="19"/>
    <n v="1150.32"/>
    <n v="21856.080000000002"/>
  </r>
  <r>
    <n v="1264"/>
    <x v="15"/>
    <x v="3"/>
    <x v="0"/>
    <x v="0"/>
    <n v="10"/>
    <n v="588.97"/>
    <n v="5889.7000000000007"/>
  </r>
  <r>
    <n v="1265"/>
    <x v="185"/>
    <x v="4"/>
    <x v="2"/>
    <x v="2"/>
    <n v="3"/>
    <n v="1344.79"/>
    <n v="4034.37"/>
  </r>
  <r>
    <n v="1266"/>
    <x v="36"/>
    <x v="2"/>
    <x v="2"/>
    <x v="2"/>
    <n v="4"/>
    <n v="415.83"/>
    <n v="1663.32"/>
  </r>
  <r>
    <n v="1267"/>
    <x v="5"/>
    <x v="3"/>
    <x v="0"/>
    <x v="4"/>
    <n v="2"/>
    <n v="578.62"/>
    <n v="1157.24"/>
  </r>
  <r>
    <n v="1268"/>
    <x v="186"/>
    <x v="0"/>
    <x v="0"/>
    <x v="0"/>
    <n v="15"/>
    <n v="1113"/>
    <n v="16695"/>
  </r>
  <r>
    <n v="1269"/>
    <x v="187"/>
    <x v="0"/>
    <x v="1"/>
    <x v="4"/>
    <n v="11"/>
    <n v="1341.46"/>
    <n v="14756.06"/>
  </r>
  <r>
    <n v="1270"/>
    <x v="188"/>
    <x v="0"/>
    <x v="2"/>
    <x v="2"/>
    <n v="10"/>
    <n v="882.16"/>
    <n v="8821.6"/>
  </r>
  <r>
    <n v="1271"/>
    <x v="17"/>
    <x v="4"/>
    <x v="3"/>
    <x v="4"/>
    <n v="6"/>
    <n v="1484.58"/>
    <n v="8907.48"/>
  </r>
  <r>
    <n v="1272"/>
    <x v="189"/>
    <x v="0"/>
    <x v="1"/>
    <x v="2"/>
    <n v="4"/>
    <n v="692.22"/>
    <n v="2768.88"/>
  </r>
  <r>
    <n v="1273"/>
    <x v="175"/>
    <x v="4"/>
    <x v="0"/>
    <x v="3"/>
    <n v="15"/>
    <n v="1387.11"/>
    <n v="20806.650000000001"/>
  </r>
  <r>
    <n v="1274"/>
    <x v="190"/>
    <x v="3"/>
    <x v="3"/>
    <x v="0"/>
    <n v="10"/>
    <n v="1267.46"/>
    <n v="12674.6"/>
  </r>
  <r>
    <n v="1275"/>
    <x v="30"/>
    <x v="3"/>
    <x v="1"/>
    <x v="3"/>
    <n v="14"/>
    <n v="1061.58"/>
    <n v="14862.12"/>
  </r>
  <r>
    <n v="1276"/>
    <x v="73"/>
    <x v="0"/>
    <x v="3"/>
    <x v="0"/>
    <n v="15"/>
    <n v="224.76"/>
    <n v="3371.4"/>
  </r>
  <r>
    <n v="1277"/>
    <x v="191"/>
    <x v="1"/>
    <x v="1"/>
    <x v="1"/>
    <n v="12"/>
    <n v="764.01"/>
    <n v="9168.119999999999"/>
  </r>
  <r>
    <n v="1278"/>
    <x v="1"/>
    <x v="1"/>
    <x v="1"/>
    <x v="0"/>
    <n v="11"/>
    <n v="1206.01"/>
    <n v="13266.11"/>
  </r>
  <r>
    <n v="1279"/>
    <x v="171"/>
    <x v="3"/>
    <x v="2"/>
    <x v="3"/>
    <n v="9"/>
    <n v="646.66"/>
    <n v="5819.94"/>
  </r>
  <r>
    <n v="1280"/>
    <x v="192"/>
    <x v="2"/>
    <x v="0"/>
    <x v="1"/>
    <n v="5"/>
    <n v="998.32"/>
    <n v="4991.6000000000004"/>
  </r>
  <r>
    <n v="1281"/>
    <x v="193"/>
    <x v="1"/>
    <x v="0"/>
    <x v="3"/>
    <n v="13"/>
    <n v="715.56"/>
    <n v="9302.2799999999988"/>
  </r>
  <r>
    <n v="1282"/>
    <x v="194"/>
    <x v="3"/>
    <x v="3"/>
    <x v="2"/>
    <n v="19"/>
    <n v="125.87"/>
    <n v="2391.5300000000002"/>
  </r>
  <r>
    <n v="1283"/>
    <x v="131"/>
    <x v="4"/>
    <x v="2"/>
    <x v="1"/>
    <n v="12"/>
    <n v="1385.58"/>
    <n v="16626.96"/>
  </r>
  <r>
    <n v="1284"/>
    <x v="95"/>
    <x v="2"/>
    <x v="3"/>
    <x v="2"/>
    <n v="19"/>
    <n v="1380.08"/>
    <n v="26221.52"/>
  </r>
  <r>
    <n v="1285"/>
    <x v="33"/>
    <x v="1"/>
    <x v="3"/>
    <x v="2"/>
    <n v="15"/>
    <n v="216.97"/>
    <n v="3254.55"/>
  </r>
  <r>
    <n v="1286"/>
    <x v="195"/>
    <x v="4"/>
    <x v="1"/>
    <x v="0"/>
    <n v="17"/>
    <n v="57.64"/>
    <n v="979.88"/>
  </r>
  <r>
    <n v="1287"/>
    <x v="196"/>
    <x v="2"/>
    <x v="3"/>
    <x v="3"/>
    <n v="7"/>
    <n v="495.55"/>
    <n v="3468.85"/>
  </r>
  <r>
    <n v="1288"/>
    <x v="6"/>
    <x v="0"/>
    <x v="2"/>
    <x v="1"/>
    <n v="16"/>
    <n v="505.38"/>
    <n v="8086.08"/>
  </r>
  <r>
    <n v="1289"/>
    <x v="69"/>
    <x v="3"/>
    <x v="1"/>
    <x v="0"/>
    <n v="13"/>
    <n v="1103.42"/>
    <n v="14344.46"/>
  </r>
  <r>
    <n v="1290"/>
    <x v="179"/>
    <x v="2"/>
    <x v="0"/>
    <x v="2"/>
    <n v="14"/>
    <n v="509.9"/>
    <n v="7138.5999999999995"/>
  </r>
  <r>
    <n v="1291"/>
    <x v="96"/>
    <x v="2"/>
    <x v="1"/>
    <x v="2"/>
    <n v="2"/>
    <n v="1372.39"/>
    <n v="2744.78"/>
  </r>
  <r>
    <n v="1292"/>
    <x v="181"/>
    <x v="0"/>
    <x v="0"/>
    <x v="2"/>
    <n v="18"/>
    <n v="995.78"/>
    <n v="17924.04"/>
  </r>
  <r>
    <n v="1293"/>
    <x v="197"/>
    <x v="1"/>
    <x v="0"/>
    <x v="2"/>
    <n v="18"/>
    <n v="208.3"/>
    <n v="3749.4"/>
  </r>
  <r>
    <n v="1294"/>
    <x v="198"/>
    <x v="3"/>
    <x v="1"/>
    <x v="0"/>
    <n v="11"/>
    <n v="705.09"/>
    <n v="7755.9900000000007"/>
  </r>
  <r>
    <n v="1295"/>
    <x v="199"/>
    <x v="1"/>
    <x v="2"/>
    <x v="0"/>
    <n v="2"/>
    <n v="1498.48"/>
    <n v="2996.96"/>
  </r>
  <r>
    <n v="1296"/>
    <x v="131"/>
    <x v="4"/>
    <x v="2"/>
    <x v="4"/>
    <n v="9"/>
    <n v="505.95"/>
    <n v="4553.55"/>
  </r>
  <r>
    <n v="1297"/>
    <x v="63"/>
    <x v="0"/>
    <x v="3"/>
    <x v="2"/>
    <n v="1"/>
    <n v="415.53"/>
    <n v="415.53"/>
  </r>
  <r>
    <n v="1298"/>
    <x v="200"/>
    <x v="4"/>
    <x v="0"/>
    <x v="4"/>
    <n v="18"/>
    <n v="556.04"/>
    <n v="10008.719999999999"/>
  </r>
  <r>
    <n v="1299"/>
    <x v="201"/>
    <x v="2"/>
    <x v="2"/>
    <x v="2"/>
    <n v="18"/>
    <n v="1329.06"/>
    <n v="23923.08"/>
  </r>
  <r>
    <n v="1300"/>
    <x v="128"/>
    <x v="1"/>
    <x v="3"/>
    <x v="4"/>
    <n v="14"/>
    <n v="788.85"/>
    <n v="11043.9"/>
  </r>
  <r>
    <n v="1301"/>
    <x v="57"/>
    <x v="3"/>
    <x v="0"/>
    <x v="1"/>
    <n v="5"/>
    <n v="650.47"/>
    <n v="3252.35"/>
  </r>
  <r>
    <n v="1302"/>
    <x v="101"/>
    <x v="3"/>
    <x v="0"/>
    <x v="2"/>
    <n v="10"/>
    <n v="209"/>
    <n v="2090"/>
  </r>
  <r>
    <n v="1303"/>
    <x v="188"/>
    <x v="1"/>
    <x v="3"/>
    <x v="4"/>
    <n v="3"/>
    <n v="1132.56"/>
    <n v="3397.68"/>
  </r>
  <r>
    <n v="1304"/>
    <x v="57"/>
    <x v="1"/>
    <x v="2"/>
    <x v="3"/>
    <n v="9"/>
    <n v="1347.26"/>
    <n v="12125.34"/>
  </r>
  <r>
    <n v="1305"/>
    <x v="121"/>
    <x v="4"/>
    <x v="2"/>
    <x v="1"/>
    <n v="1"/>
    <n v="1017.74"/>
    <n v="1017.74"/>
  </r>
  <r>
    <n v="1306"/>
    <x v="202"/>
    <x v="2"/>
    <x v="2"/>
    <x v="2"/>
    <n v="8"/>
    <n v="209.99"/>
    <n v="1679.92"/>
  </r>
  <r>
    <n v="1307"/>
    <x v="27"/>
    <x v="4"/>
    <x v="1"/>
    <x v="0"/>
    <n v="3"/>
    <n v="889.92"/>
    <n v="2669.76"/>
  </r>
  <r>
    <n v="1308"/>
    <x v="203"/>
    <x v="3"/>
    <x v="0"/>
    <x v="4"/>
    <n v="15"/>
    <n v="632.70000000000005"/>
    <n v="9490.5"/>
  </r>
  <r>
    <n v="1309"/>
    <x v="204"/>
    <x v="1"/>
    <x v="0"/>
    <x v="1"/>
    <n v="7"/>
    <n v="589.17999999999995"/>
    <n v="4124.2599999999993"/>
  </r>
  <r>
    <n v="1310"/>
    <x v="164"/>
    <x v="0"/>
    <x v="2"/>
    <x v="4"/>
    <n v="11"/>
    <n v="956.65"/>
    <n v="10523.15"/>
  </r>
  <r>
    <n v="1311"/>
    <x v="205"/>
    <x v="2"/>
    <x v="0"/>
    <x v="3"/>
    <n v="3"/>
    <n v="554.12"/>
    <n v="1662.36"/>
  </r>
  <r>
    <n v="1312"/>
    <x v="107"/>
    <x v="1"/>
    <x v="0"/>
    <x v="4"/>
    <n v="2"/>
    <n v="1278.49"/>
    <n v="2556.98"/>
  </r>
  <r>
    <n v="1313"/>
    <x v="206"/>
    <x v="2"/>
    <x v="0"/>
    <x v="2"/>
    <n v="12"/>
    <n v="363.9"/>
    <n v="4366.7999999999993"/>
  </r>
  <r>
    <n v="1314"/>
    <x v="153"/>
    <x v="3"/>
    <x v="0"/>
    <x v="3"/>
    <n v="4"/>
    <n v="1458.9"/>
    <n v="5835.6"/>
  </r>
  <r>
    <n v="1315"/>
    <x v="37"/>
    <x v="4"/>
    <x v="2"/>
    <x v="0"/>
    <n v="2"/>
    <n v="982.13"/>
    <n v="1964.26"/>
  </r>
  <r>
    <n v="1316"/>
    <x v="51"/>
    <x v="1"/>
    <x v="3"/>
    <x v="3"/>
    <n v="10"/>
    <n v="229.47"/>
    <n v="2294.6999999999998"/>
  </r>
  <r>
    <n v="1317"/>
    <x v="9"/>
    <x v="0"/>
    <x v="1"/>
    <x v="0"/>
    <n v="17"/>
    <n v="489.04"/>
    <n v="8313.68"/>
  </r>
  <r>
    <n v="1318"/>
    <x v="207"/>
    <x v="3"/>
    <x v="3"/>
    <x v="4"/>
    <n v="17"/>
    <n v="779.16"/>
    <n v="13245.72"/>
  </r>
  <r>
    <n v="1319"/>
    <x v="208"/>
    <x v="3"/>
    <x v="2"/>
    <x v="1"/>
    <n v="11"/>
    <n v="614.46"/>
    <n v="6759.06"/>
  </r>
  <r>
    <n v="1320"/>
    <x v="205"/>
    <x v="3"/>
    <x v="2"/>
    <x v="0"/>
    <n v="2"/>
    <n v="856.25"/>
    <n v="1712.5"/>
  </r>
  <r>
    <n v="1321"/>
    <x v="209"/>
    <x v="3"/>
    <x v="3"/>
    <x v="1"/>
    <n v="5"/>
    <n v="563.65"/>
    <n v="2818.25"/>
  </r>
  <r>
    <n v="1322"/>
    <x v="210"/>
    <x v="4"/>
    <x v="1"/>
    <x v="3"/>
    <n v="1"/>
    <n v="300.06"/>
    <n v="300.06"/>
  </r>
  <r>
    <n v="1323"/>
    <x v="211"/>
    <x v="1"/>
    <x v="2"/>
    <x v="1"/>
    <n v="7"/>
    <n v="318.83"/>
    <n v="2231.81"/>
  </r>
  <r>
    <n v="1324"/>
    <x v="164"/>
    <x v="0"/>
    <x v="0"/>
    <x v="4"/>
    <n v="7"/>
    <n v="1119.45"/>
    <n v="7836.1500000000005"/>
  </r>
  <r>
    <n v="1325"/>
    <x v="104"/>
    <x v="2"/>
    <x v="2"/>
    <x v="3"/>
    <n v="19"/>
    <n v="430.39"/>
    <n v="8177.41"/>
  </r>
  <r>
    <n v="1326"/>
    <x v="27"/>
    <x v="4"/>
    <x v="1"/>
    <x v="0"/>
    <n v="8"/>
    <n v="575.1"/>
    <n v="4600.8"/>
  </r>
  <r>
    <n v="1327"/>
    <x v="212"/>
    <x v="3"/>
    <x v="1"/>
    <x v="4"/>
    <n v="11"/>
    <n v="1235.8699999999999"/>
    <n v="13594.57"/>
  </r>
  <r>
    <n v="1328"/>
    <x v="213"/>
    <x v="2"/>
    <x v="0"/>
    <x v="3"/>
    <n v="17"/>
    <n v="1172.53"/>
    <n v="19933.009999999998"/>
  </r>
  <r>
    <n v="1329"/>
    <x v="204"/>
    <x v="0"/>
    <x v="0"/>
    <x v="3"/>
    <n v="13"/>
    <n v="684.85"/>
    <n v="8903.0500000000011"/>
  </r>
  <r>
    <n v="1330"/>
    <x v="73"/>
    <x v="2"/>
    <x v="0"/>
    <x v="1"/>
    <n v="2"/>
    <n v="1122.53"/>
    <n v="2245.06"/>
  </r>
  <r>
    <n v="1331"/>
    <x v="98"/>
    <x v="2"/>
    <x v="3"/>
    <x v="1"/>
    <n v="17"/>
    <n v="306.19"/>
    <n v="5205.2299999999996"/>
  </r>
  <r>
    <n v="1332"/>
    <x v="200"/>
    <x v="1"/>
    <x v="0"/>
    <x v="1"/>
    <n v="13"/>
    <n v="1486.45"/>
    <n v="19323.849999999999"/>
  </r>
  <r>
    <n v="1333"/>
    <x v="180"/>
    <x v="0"/>
    <x v="1"/>
    <x v="0"/>
    <n v="11"/>
    <n v="1077.5899999999999"/>
    <n v="11853.49"/>
  </r>
  <r>
    <n v="1334"/>
    <x v="214"/>
    <x v="1"/>
    <x v="2"/>
    <x v="4"/>
    <n v="12"/>
    <n v="502.2"/>
    <n v="6026.4"/>
  </r>
  <r>
    <n v="1335"/>
    <x v="215"/>
    <x v="2"/>
    <x v="2"/>
    <x v="0"/>
    <n v="6"/>
    <n v="443.64"/>
    <n v="2661.84"/>
  </r>
  <r>
    <n v="1336"/>
    <x v="74"/>
    <x v="3"/>
    <x v="2"/>
    <x v="4"/>
    <n v="14"/>
    <n v="1285.71"/>
    <n v="17999.939999999999"/>
  </r>
  <r>
    <n v="1337"/>
    <x v="216"/>
    <x v="0"/>
    <x v="3"/>
    <x v="3"/>
    <n v="14"/>
    <n v="215.32"/>
    <n v="3014.48"/>
  </r>
  <r>
    <n v="1338"/>
    <x v="217"/>
    <x v="0"/>
    <x v="1"/>
    <x v="2"/>
    <n v="9"/>
    <n v="370.61"/>
    <n v="3335.49"/>
  </r>
  <r>
    <n v="1339"/>
    <x v="218"/>
    <x v="1"/>
    <x v="2"/>
    <x v="1"/>
    <n v="19"/>
    <n v="776.05"/>
    <n v="14744.95"/>
  </r>
  <r>
    <n v="1340"/>
    <x v="199"/>
    <x v="1"/>
    <x v="3"/>
    <x v="3"/>
    <n v="11"/>
    <n v="872.83"/>
    <n v="9601.130000000001"/>
  </r>
  <r>
    <n v="1341"/>
    <x v="219"/>
    <x v="3"/>
    <x v="1"/>
    <x v="2"/>
    <n v="12"/>
    <n v="545.38"/>
    <n v="6544.5599999999986"/>
  </r>
  <r>
    <n v="1342"/>
    <x v="141"/>
    <x v="4"/>
    <x v="3"/>
    <x v="1"/>
    <n v="18"/>
    <n v="745.55"/>
    <n v="13419.9"/>
  </r>
  <r>
    <n v="1343"/>
    <x v="109"/>
    <x v="1"/>
    <x v="1"/>
    <x v="4"/>
    <n v="15"/>
    <n v="268.48"/>
    <n v="4027.2"/>
  </r>
  <r>
    <n v="1344"/>
    <x v="188"/>
    <x v="0"/>
    <x v="2"/>
    <x v="1"/>
    <n v="19"/>
    <n v="284.88"/>
    <n v="5412.72"/>
  </r>
  <r>
    <n v="1345"/>
    <x v="220"/>
    <x v="2"/>
    <x v="2"/>
    <x v="3"/>
    <n v="14"/>
    <n v="1027.1500000000001"/>
    <n v="14380.1"/>
  </r>
  <r>
    <n v="1346"/>
    <x v="202"/>
    <x v="3"/>
    <x v="2"/>
    <x v="3"/>
    <n v="9"/>
    <n v="73.22"/>
    <n v="658.98"/>
  </r>
  <r>
    <n v="1347"/>
    <x v="16"/>
    <x v="4"/>
    <x v="0"/>
    <x v="2"/>
    <n v="8"/>
    <n v="1229.76"/>
    <n v="9838.08"/>
  </r>
  <r>
    <n v="1348"/>
    <x v="221"/>
    <x v="3"/>
    <x v="2"/>
    <x v="3"/>
    <n v="17"/>
    <n v="391.38"/>
    <n v="6653.46"/>
  </r>
  <r>
    <n v="1349"/>
    <x v="88"/>
    <x v="4"/>
    <x v="1"/>
    <x v="4"/>
    <n v="11"/>
    <n v="570.63"/>
    <n v="6276.93"/>
  </r>
  <r>
    <n v="1350"/>
    <x v="222"/>
    <x v="2"/>
    <x v="3"/>
    <x v="2"/>
    <n v="9"/>
    <n v="1071.5"/>
    <n v="9643.5"/>
  </r>
  <r>
    <n v="1351"/>
    <x v="16"/>
    <x v="0"/>
    <x v="1"/>
    <x v="3"/>
    <n v="15"/>
    <n v="1323.25"/>
    <n v="19848.75"/>
  </r>
  <r>
    <n v="1352"/>
    <x v="27"/>
    <x v="3"/>
    <x v="2"/>
    <x v="3"/>
    <n v="5"/>
    <n v="1043.8900000000001"/>
    <n v="5219.4500000000007"/>
  </r>
  <r>
    <n v="1353"/>
    <x v="37"/>
    <x v="1"/>
    <x v="3"/>
    <x v="0"/>
    <n v="5"/>
    <n v="1040.29"/>
    <n v="5201.45"/>
  </r>
  <r>
    <n v="1354"/>
    <x v="223"/>
    <x v="2"/>
    <x v="3"/>
    <x v="2"/>
    <n v="18"/>
    <n v="1105.4000000000001"/>
    <n v="19897.2"/>
  </r>
  <r>
    <n v="1355"/>
    <x v="26"/>
    <x v="3"/>
    <x v="3"/>
    <x v="3"/>
    <n v="3"/>
    <n v="178.3"/>
    <n v="534.90000000000009"/>
  </r>
  <r>
    <n v="1356"/>
    <x v="116"/>
    <x v="1"/>
    <x v="2"/>
    <x v="4"/>
    <n v="2"/>
    <n v="1251.69"/>
    <n v="2503.38"/>
  </r>
  <r>
    <n v="1357"/>
    <x v="31"/>
    <x v="0"/>
    <x v="0"/>
    <x v="1"/>
    <n v="4"/>
    <n v="1378.19"/>
    <n v="5512.76"/>
  </r>
  <r>
    <n v="1358"/>
    <x v="109"/>
    <x v="0"/>
    <x v="0"/>
    <x v="0"/>
    <n v="14"/>
    <n v="53.64"/>
    <n v="750.96"/>
  </r>
  <r>
    <n v="1359"/>
    <x v="136"/>
    <x v="2"/>
    <x v="2"/>
    <x v="0"/>
    <n v="3"/>
    <n v="397.38"/>
    <n v="1192.1400000000001"/>
  </r>
  <r>
    <n v="1360"/>
    <x v="224"/>
    <x v="3"/>
    <x v="0"/>
    <x v="3"/>
    <n v="4"/>
    <n v="663.6"/>
    <n v="2654.4"/>
  </r>
  <r>
    <n v="1361"/>
    <x v="66"/>
    <x v="4"/>
    <x v="1"/>
    <x v="3"/>
    <n v="8"/>
    <n v="932.99"/>
    <n v="7463.92"/>
  </r>
  <r>
    <n v="1362"/>
    <x v="225"/>
    <x v="1"/>
    <x v="0"/>
    <x v="0"/>
    <n v="15"/>
    <n v="314.64999999999998"/>
    <n v="4719.75"/>
  </r>
  <r>
    <n v="1363"/>
    <x v="226"/>
    <x v="4"/>
    <x v="2"/>
    <x v="1"/>
    <n v="18"/>
    <n v="337.03"/>
    <n v="6066.5399999999991"/>
  </r>
  <r>
    <n v="1364"/>
    <x v="54"/>
    <x v="1"/>
    <x v="3"/>
    <x v="3"/>
    <n v="18"/>
    <n v="166.95"/>
    <n v="3005.1"/>
  </r>
  <r>
    <n v="1365"/>
    <x v="48"/>
    <x v="0"/>
    <x v="1"/>
    <x v="0"/>
    <n v="8"/>
    <n v="1158.54"/>
    <n v="9268.32"/>
  </r>
  <r>
    <n v="1366"/>
    <x v="227"/>
    <x v="1"/>
    <x v="0"/>
    <x v="0"/>
    <n v="3"/>
    <n v="522.77"/>
    <n v="1568.31"/>
  </r>
  <r>
    <n v="1367"/>
    <x v="110"/>
    <x v="4"/>
    <x v="3"/>
    <x v="2"/>
    <n v="18"/>
    <n v="940.9"/>
    <n v="16936.2"/>
  </r>
  <r>
    <n v="1368"/>
    <x v="228"/>
    <x v="0"/>
    <x v="1"/>
    <x v="0"/>
    <n v="17"/>
    <n v="736.59"/>
    <n v="12522.03"/>
  </r>
  <r>
    <n v="1369"/>
    <x v="212"/>
    <x v="2"/>
    <x v="2"/>
    <x v="0"/>
    <n v="19"/>
    <n v="1248.26"/>
    <n v="23716.94"/>
  </r>
  <r>
    <n v="1370"/>
    <x v="151"/>
    <x v="3"/>
    <x v="3"/>
    <x v="1"/>
    <n v="18"/>
    <n v="455.33"/>
    <n v="8195.94"/>
  </r>
  <r>
    <n v="1371"/>
    <x v="229"/>
    <x v="0"/>
    <x v="0"/>
    <x v="2"/>
    <n v="15"/>
    <n v="309.83"/>
    <n v="4647.45"/>
  </r>
  <r>
    <n v="1372"/>
    <x v="29"/>
    <x v="0"/>
    <x v="1"/>
    <x v="0"/>
    <n v="19"/>
    <n v="1001.01"/>
    <n v="19019.189999999999"/>
  </r>
  <r>
    <n v="1373"/>
    <x v="158"/>
    <x v="3"/>
    <x v="2"/>
    <x v="2"/>
    <n v="19"/>
    <n v="187.38"/>
    <n v="3560.22"/>
  </r>
  <r>
    <n v="1374"/>
    <x v="230"/>
    <x v="2"/>
    <x v="0"/>
    <x v="4"/>
    <n v="17"/>
    <n v="543.16"/>
    <n v="9233.7199999999993"/>
  </r>
  <r>
    <n v="1375"/>
    <x v="231"/>
    <x v="4"/>
    <x v="1"/>
    <x v="1"/>
    <n v="19"/>
    <n v="468.83"/>
    <n v="8907.77"/>
  </r>
  <r>
    <n v="1376"/>
    <x v="232"/>
    <x v="1"/>
    <x v="2"/>
    <x v="2"/>
    <n v="4"/>
    <n v="1323.67"/>
    <n v="5294.68"/>
  </r>
  <r>
    <n v="1377"/>
    <x v="230"/>
    <x v="1"/>
    <x v="3"/>
    <x v="2"/>
    <n v="16"/>
    <n v="477.47"/>
    <n v="7639.52"/>
  </r>
  <r>
    <n v="1378"/>
    <x v="147"/>
    <x v="0"/>
    <x v="3"/>
    <x v="4"/>
    <n v="12"/>
    <n v="934.85"/>
    <n v="11218.2"/>
  </r>
  <r>
    <n v="1379"/>
    <x v="233"/>
    <x v="2"/>
    <x v="3"/>
    <x v="2"/>
    <n v="4"/>
    <n v="1313.61"/>
    <n v="5254.44"/>
  </r>
  <r>
    <n v="1380"/>
    <x v="165"/>
    <x v="1"/>
    <x v="3"/>
    <x v="4"/>
    <n v="6"/>
    <n v="382.61"/>
    <n v="2295.66"/>
  </r>
  <r>
    <n v="1381"/>
    <x v="115"/>
    <x v="0"/>
    <x v="3"/>
    <x v="4"/>
    <n v="10"/>
    <n v="1114.49"/>
    <n v="11144.9"/>
  </r>
  <r>
    <n v="1382"/>
    <x v="164"/>
    <x v="0"/>
    <x v="3"/>
    <x v="3"/>
    <n v="17"/>
    <n v="1126.55"/>
    <n v="19151.349999999999"/>
  </r>
  <r>
    <n v="1383"/>
    <x v="234"/>
    <x v="3"/>
    <x v="1"/>
    <x v="4"/>
    <n v="1"/>
    <n v="722.71"/>
    <n v="722.71"/>
  </r>
  <r>
    <n v="1384"/>
    <x v="134"/>
    <x v="4"/>
    <x v="3"/>
    <x v="4"/>
    <n v="7"/>
    <n v="321.95999999999998"/>
    <n v="2253.7199999999998"/>
  </r>
  <r>
    <n v="1385"/>
    <x v="235"/>
    <x v="4"/>
    <x v="0"/>
    <x v="4"/>
    <n v="4"/>
    <n v="1059.52"/>
    <n v="4238.08"/>
  </r>
  <r>
    <n v="1386"/>
    <x v="236"/>
    <x v="4"/>
    <x v="3"/>
    <x v="0"/>
    <n v="4"/>
    <n v="841.81"/>
    <n v="3367.24"/>
  </r>
  <r>
    <n v="1387"/>
    <x v="222"/>
    <x v="1"/>
    <x v="1"/>
    <x v="2"/>
    <n v="10"/>
    <n v="597.97"/>
    <n v="5979.7000000000007"/>
  </r>
  <r>
    <n v="1388"/>
    <x v="237"/>
    <x v="0"/>
    <x v="2"/>
    <x v="4"/>
    <n v="4"/>
    <n v="121.61"/>
    <n v="486.44"/>
  </r>
  <r>
    <n v="1389"/>
    <x v="134"/>
    <x v="0"/>
    <x v="1"/>
    <x v="4"/>
    <n v="5"/>
    <n v="356.86"/>
    <n v="1784.3"/>
  </r>
  <r>
    <n v="1390"/>
    <x v="238"/>
    <x v="3"/>
    <x v="1"/>
    <x v="0"/>
    <n v="3"/>
    <n v="826.65"/>
    <n v="2479.9499999999998"/>
  </r>
  <r>
    <n v="1391"/>
    <x v="95"/>
    <x v="3"/>
    <x v="1"/>
    <x v="0"/>
    <n v="6"/>
    <n v="1099.92"/>
    <n v="6599.52"/>
  </r>
  <r>
    <n v="1392"/>
    <x v="230"/>
    <x v="0"/>
    <x v="0"/>
    <x v="2"/>
    <n v="5"/>
    <n v="1146.7"/>
    <n v="5733.5"/>
  </r>
  <r>
    <n v="1393"/>
    <x v="84"/>
    <x v="3"/>
    <x v="3"/>
    <x v="3"/>
    <n v="10"/>
    <n v="379.88"/>
    <n v="3798.8"/>
  </r>
  <r>
    <n v="1394"/>
    <x v="174"/>
    <x v="4"/>
    <x v="3"/>
    <x v="4"/>
    <n v="6"/>
    <n v="701.5"/>
    <n v="4209"/>
  </r>
  <r>
    <n v="1395"/>
    <x v="239"/>
    <x v="3"/>
    <x v="0"/>
    <x v="3"/>
    <n v="7"/>
    <n v="1307.8699999999999"/>
    <n v="9155.09"/>
  </r>
  <r>
    <n v="1396"/>
    <x v="240"/>
    <x v="2"/>
    <x v="2"/>
    <x v="0"/>
    <n v="16"/>
    <n v="763.78"/>
    <n v="12220.48"/>
  </r>
  <r>
    <n v="1397"/>
    <x v="153"/>
    <x v="0"/>
    <x v="1"/>
    <x v="0"/>
    <n v="11"/>
    <n v="172.28"/>
    <n v="1895.08"/>
  </r>
  <r>
    <n v="1398"/>
    <x v="241"/>
    <x v="3"/>
    <x v="1"/>
    <x v="1"/>
    <n v="9"/>
    <n v="1332.22"/>
    <n v="11989.98"/>
  </r>
  <r>
    <n v="1399"/>
    <x v="100"/>
    <x v="0"/>
    <x v="1"/>
    <x v="3"/>
    <n v="14"/>
    <n v="641.72"/>
    <n v="8984.08"/>
  </r>
  <r>
    <n v="1400"/>
    <x v="172"/>
    <x v="4"/>
    <x v="2"/>
    <x v="1"/>
    <n v="19"/>
    <n v="409.01"/>
    <n v="7771.19"/>
  </r>
  <r>
    <n v="1401"/>
    <x v="242"/>
    <x v="3"/>
    <x v="0"/>
    <x v="4"/>
    <n v="6"/>
    <n v="1080.6099999999999"/>
    <n v="6483.66"/>
  </r>
  <r>
    <n v="1402"/>
    <x v="177"/>
    <x v="0"/>
    <x v="2"/>
    <x v="2"/>
    <n v="10"/>
    <n v="864.05"/>
    <n v="8640.5"/>
  </r>
  <r>
    <n v="1403"/>
    <x v="174"/>
    <x v="0"/>
    <x v="1"/>
    <x v="4"/>
    <n v="6"/>
    <n v="1115.5"/>
    <n v="6693"/>
  </r>
  <r>
    <n v="1404"/>
    <x v="213"/>
    <x v="2"/>
    <x v="0"/>
    <x v="1"/>
    <n v="5"/>
    <n v="571.21"/>
    <n v="2856.05"/>
  </r>
  <r>
    <n v="1405"/>
    <x v="27"/>
    <x v="0"/>
    <x v="3"/>
    <x v="3"/>
    <n v="7"/>
    <n v="761.62"/>
    <n v="5331.34"/>
  </r>
  <r>
    <n v="1406"/>
    <x v="73"/>
    <x v="3"/>
    <x v="2"/>
    <x v="4"/>
    <n v="1"/>
    <n v="896.76"/>
    <n v="896.76"/>
  </r>
  <r>
    <n v="1407"/>
    <x v="243"/>
    <x v="4"/>
    <x v="2"/>
    <x v="4"/>
    <n v="6"/>
    <n v="1364.41"/>
    <n v="8186.4600000000009"/>
  </r>
  <r>
    <n v="1408"/>
    <x v="244"/>
    <x v="0"/>
    <x v="0"/>
    <x v="3"/>
    <n v="13"/>
    <n v="571.62"/>
    <n v="7431.06"/>
  </r>
  <r>
    <n v="1409"/>
    <x v="245"/>
    <x v="3"/>
    <x v="0"/>
    <x v="3"/>
    <n v="8"/>
    <n v="208.65"/>
    <n v="1669.2"/>
  </r>
  <r>
    <n v="1410"/>
    <x v="246"/>
    <x v="0"/>
    <x v="3"/>
    <x v="0"/>
    <n v="1"/>
    <n v="899.15"/>
    <n v="899.15"/>
  </r>
  <r>
    <n v="1411"/>
    <x v="155"/>
    <x v="0"/>
    <x v="1"/>
    <x v="4"/>
    <n v="16"/>
    <n v="889.93"/>
    <n v="14238.88"/>
  </r>
  <r>
    <n v="1412"/>
    <x v="241"/>
    <x v="4"/>
    <x v="0"/>
    <x v="2"/>
    <n v="16"/>
    <n v="1173.08"/>
    <n v="18769.28"/>
  </r>
  <r>
    <n v="1413"/>
    <x v="36"/>
    <x v="3"/>
    <x v="3"/>
    <x v="4"/>
    <n v="6"/>
    <n v="130.13"/>
    <n v="780.78"/>
  </r>
  <r>
    <n v="1414"/>
    <x v="216"/>
    <x v="3"/>
    <x v="3"/>
    <x v="0"/>
    <n v="14"/>
    <n v="766.36"/>
    <n v="10729.04"/>
  </r>
  <r>
    <n v="1415"/>
    <x v="247"/>
    <x v="2"/>
    <x v="3"/>
    <x v="1"/>
    <n v="18"/>
    <n v="351.72"/>
    <n v="6330.9600000000009"/>
  </r>
  <r>
    <n v="1416"/>
    <x v="248"/>
    <x v="1"/>
    <x v="3"/>
    <x v="0"/>
    <n v="4"/>
    <n v="693.22"/>
    <n v="2772.88"/>
  </r>
  <r>
    <n v="1417"/>
    <x v="165"/>
    <x v="4"/>
    <x v="1"/>
    <x v="2"/>
    <n v="7"/>
    <n v="1021.94"/>
    <n v="7153.58"/>
  </r>
  <r>
    <n v="1418"/>
    <x v="249"/>
    <x v="3"/>
    <x v="0"/>
    <x v="3"/>
    <n v="11"/>
    <n v="767.47"/>
    <n v="8442.17"/>
  </r>
  <r>
    <n v="1419"/>
    <x v="250"/>
    <x v="3"/>
    <x v="3"/>
    <x v="2"/>
    <n v="18"/>
    <n v="447.24"/>
    <n v="8050.32"/>
  </r>
  <r>
    <n v="1420"/>
    <x v="251"/>
    <x v="1"/>
    <x v="0"/>
    <x v="4"/>
    <n v="9"/>
    <n v="61.76"/>
    <n v="555.84"/>
  </r>
  <r>
    <n v="1421"/>
    <x v="252"/>
    <x v="2"/>
    <x v="1"/>
    <x v="1"/>
    <n v="3"/>
    <n v="449.41"/>
    <n v="1348.23"/>
  </r>
  <r>
    <n v="1422"/>
    <x v="253"/>
    <x v="1"/>
    <x v="0"/>
    <x v="1"/>
    <n v="11"/>
    <n v="1056.6300000000001"/>
    <n v="11622.93"/>
  </r>
  <r>
    <n v="1423"/>
    <x v="235"/>
    <x v="1"/>
    <x v="2"/>
    <x v="2"/>
    <n v="4"/>
    <n v="362.77"/>
    <n v="1451.08"/>
  </r>
  <r>
    <n v="1424"/>
    <x v="254"/>
    <x v="4"/>
    <x v="1"/>
    <x v="4"/>
    <n v="1"/>
    <n v="1467.89"/>
    <n v="1467.89"/>
  </r>
  <r>
    <n v="1425"/>
    <x v="118"/>
    <x v="0"/>
    <x v="3"/>
    <x v="2"/>
    <n v="17"/>
    <n v="1390.81"/>
    <n v="23643.77"/>
  </r>
  <r>
    <n v="1426"/>
    <x v="31"/>
    <x v="2"/>
    <x v="2"/>
    <x v="3"/>
    <n v="16"/>
    <n v="362.53"/>
    <n v="5800.48"/>
  </r>
  <r>
    <n v="1427"/>
    <x v="176"/>
    <x v="0"/>
    <x v="0"/>
    <x v="1"/>
    <n v="17"/>
    <n v="440.34"/>
    <n v="7485.78"/>
  </r>
  <r>
    <n v="1428"/>
    <x v="186"/>
    <x v="2"/>
    <x v="3"/>
    <x v="2"/>
    <n v="1"/>
    <n v="1235.55"/>
    <n v="1235.55"/>
  </r>
  <r>
    <n v="1429"/>
    <x v="237"/>
    <x v="4"/>
    <x v="0"/>
    <x v="1"/>
    <n v="12"/>
    <n v="970.25"/>
    <n v="11643"/>
  </r>
  <r>
    <n v="1430"/>
    <x v="93"/>
    <x v="2"/>
    <x v="0"/>
    <x v="2"/>
    <n v="2"/>
    <n v="1117.0899999999999"/>
    <n v="2234.1799999999998"/>
  </r>
  <r>
    <n v="1431"/>
    <x v="255"/>
    <x v="3"/>
    <x v="2"/>
    <x v="2"/>
    <n v="7"/>
    <n v="460.29"/>
    <n v="3222.03"/>
  </r>
  <r>
    <n v="1432"/>
    <x v="45"/>
    <x v="0"/>
    <x v="0"/>
    <x v="4"/>
    <n v="15"/>
    <n v="1023.16"/>
    <n v="15347.4"/>
  </r>
  <r>
    <n v="1433"/>
    <x v="41"/>
    <x v="3"/>
    <x v="1"/>
    <x v="2"/>
    <n v="9"/>
    <n v="76.11"/>
    <n v="684.99"/>
  </r>
  <r>
    <n v="1434"/>
    <x v="132"/>
    <x v="3"/>
    <x v="0"/>
    <x v="1"/>
    <n v="15"/>
    <n v="1352.12"/>
    <n v="20281.8"/>
  </r>
  <r>
    <n v="1435"/>
    <x v="58"/>
    <x v="2"/>
    <x v="2"/>
    <x v="0"/>
    <n v="3"/>
    <n v="894.61"/>
    <n v="2683.83"/>
  </r>
  <r>
    <n v="1436"/>
    <x v="256"/>
    <x v="2"/>
    <x v="3"/>
    <x v="1"/>
    <n v="18"/>
    <n v="174.33"/>
    <n v="3137.94"/>
  </r>
  <r>
    <n v="1437"/>
    <x v="106"/>
    <x v="2"/>
    <x v="1"/>
    <x v="4"/>
    <n v="15"/>
    <n v="1343.13"/>
    <n v="20146.95"/>
  </r>
  <r>
    <n v="1438"/>
    <x v="117"/>
    <x v="1"/>
    <x v="2"/>
    <x v="3"/>
    <n v="19"/>
    <n v="251.42"/>
    <n v="4776.9799999999996"/>
  </r>
  <r>
    <n v="1439"/>
    <x v="194"/>
    <x v="0"/>
    <x v="1"/>
    <x v="2"/>
    <n v="19"/>
    <n v="1258.6099999999999"/>
    <n v="23913.59"/>
  </r>
  <r>
    <n v="1440"/>
    <x v="257"/>
    <x v="2"/>
    <x v="2"/>
    <x v="0"/>
    <n v="11"/>
    <n v="720.68"/>
    <n v="7927.48"/>
  </r>
  <r>
    <n v="1441"/>
    <x v="163"/>
    <x v="4"/>
    <x v="0"/>
    <x v="4"/>
    <n v="19"/>
    <n v="1225.54"/>
    <n v="23285.26"/>
  </r>
  <r>
    <n v="1442"/>
    <x v="220"/>
    <x v="2"/>
    <x v="1"/>
    <x v="4"/>
    <n v="16"/>
    <n v="1415.34"/>
    <n v="22645.439999999999"/>
  </r>
  <r>
    <n v="1443"/>
    <x v="233"/>
    <x v="4"/>
    <x v="1"/>
    <x v="1"/>
    <n v="12"/>
    <n v="787.77"/>
    <n v="9453.24"/>
  </r>
  <r>
    <n v="1444"/>
    <x v="56"/>
    <x v="2"/>
    <x v="2"/>
    <x v="3"/>
    <n v="1"/>
    <n v="1027.6099999999999"/>
    <n v="1027.6099999999999"/>
  </r>
  <r>
    <n v="1445"/>
    <x v="258"/>
    <x v="0"/>
    <x v="1"/>
    <x v="2"/>
    <n v="17"/>
    <n v="595.52"/>
    <n v="10123.84"/>
  </r>
  <r>
    <n v="1446"/>
    <x v="259"/>
    <x v="1"/>
    <x v="2"/>
    <x v="1"/>
    <n v="14"/>
    <n v="743.4"/>
    <n v="10407.6"/>
  </r>
  <r>
    <n v="1447"/>
    <x v="83"/>
    <x v="2"/>
    <x v="1"/>
    <x v="3"/>
    <n v="5"/>
    <n v="1041.28"/>
    <n v="5206.3999999999996"/>
  </r>
  <r>
    <n v="1448"/>
    <x v="260"/>
    <x v="1"/>
    <x v="0"/>
    <x v="1"/>
    <n v="18"/>
    <n v="404.19"/>
    <n v="7275.42"/>
  </r>
  <r>
    <n v="1449"/>
    <x v="130"/>
    <x v="3"/>
    <x v="1"/>
    <x v="0"/>
    <n v="7"/>
    <n v="1264.28"/>
    <n v="8849.9599999999991"/>
  </r>
  <r>
    <n v="1450"/>
    <x v="103"/>
    <x v="1"/>
    <x v="0"/>
    <x v="3"/>
    <n v="13"/>
    <n v="1282.74"/>
    <n v="16675.62"/>
  </r>
  <r>
    <n v="1451"/>
    <x v="8"/>
    <x v="1"/>
    <x v="1"/>
    <x v="4"/>
    <n v="17"/>
    <n v="1498.55"/>
    <n v="25475.35"/>
  </r>
  <r>
    <n v="1452"/>
    <x v="241"/>
    <x v="4"/>
    <x v="0"/>
    <x v="3"/>
    <n v="9"/>
    <n v="176.06"/>
    <n v="1584.54"/>
  </r>
  <r>
    <n v="1453"/>
    <x v="8"/>
    <x v="1"/>
    <x v="2"/>
    <x v="4"/>
    <n v="8"/>
    <n v="330.39"/>
    <n v="2643.12"/>
  </r>
  <r>
    <n v="1454"/>
    <x v="125"/>
    <x v="3"/>
    <x v="2"/>
    <x v="1"/>
    <n v="1"/>
    <n v="1042.68"/>
    <n v="1042.68"/>
  </r>
  <r>
    <n v="1455"/>
    <x v="194"/>
    <x v="4"/>
    <x v="0"/>
    <x v="1"/>
    <n v="16"/>
    <n v="355.34"/>
    <n v="5685.44"/>
  </r>
  <r>
    <n v="1456"/>
    <x v="196"/>
    <x v="0"/>
    <x v="1"/>
    <x v="4"/>
    <n v="8"/>
    <n v="567.24"/>
    <n v="4537.92"/>
  </r>
  <r>
    <n v="1457"/>
    <x v="232"/>
    <x v="2"/>
    <x v="1"/>
    <x v="0"/>
    <n v="3"/>
    <n v="724.35"/>
    <n v="2173.0500000000002"/>
  </r>
  <r>
    <n v="1458"/>
    <x v="89"/>
    <x v="0"/>
    <x v="1"/>
    <x v="1"/>
    <n v="4"/>
    <n v="585.09"/>
    <n v="2340.36"/>
  </r>
  <r>
    <n v="1459"/>
    <x v="108"/>
    <x v="3"/>
    <x v="3"/>
    <x v="0"/>
    <n v="3"/>
    <n v="528.28"/>
    <n v="1584.84"/>
  </r>
  <r>
    <n v="1460"/>
    <x v="261"/>
    <x v="0"/>
    <x v="1"/>
    <x v="1"/>
    <n v="5"/>
    <n v="243.74"/>
    <n v="1218.7"/>
  </r>
  <r>
    <n v="1461"/>
    <x v="230"/>
    <x v="0"/>
    <x v="0"/>
    <x v="0"/>
    <n v="17"/>
    <n v="1471.09"/>
    <n v="25008.53"/>
  </r>
  <r>
    <n v="1462"/>
    <x v="262"/>
    <x v="1"/>
    <x v="3"/>
    <x v="2"/>
    <n v="1"/>
    <n v="1154.6600000000001"/>
    <n v="1154.6600000000001"/>
  </r>
  <r>
    <n v="1463"/>
    <x v="183"/>
    <x v="2"/>
    <x v="3"/>
    <x v="3"/>
    <n v="7"/>
    <n v="1165.0999999999999"/>
    <n v="8155.6999999999989"/>
  </r>
  <r>
    <n v="1464"/>
    <x v="111"/>
    <x v="1"/>
    <x v="3"/>
    <x v="2"/>
    <n v="15"/>
    <n v="80.58"/>
    <n v="1208.7"/>
  </r>
  <r>
    <n v="1465"/>
    <x v="111"/>
    <x v="1"/>
    <x v="2"/>
    <x v="0"/>
    <n v="10"/>
    <n v="65.95"/>
    <n v="659.5"/>
  </r>
  <r>
    <n v="1466"/>
    <x v="263"/>
    <x v="3"/>
    <x v="0"/>
    <x v="4"/>
    <n v="10"/>
    <n v="817.57"/>
    <n v="8175.7000000000007"/>
  </r>
  <r>
    <n v="1467"/>
    <x v="39"/>
    <x v="3"/>
    <x v="2"/>
    <x v="4"/>
    <n v="1"/>
    <n v="228"/>
    <n v="228"/>
  </r>
  <r>
    <n v="1468"/>
    <x v="264"/>
    <x v="0"/>
    <x v="0"/>
    <x v="1"/>
    <n v="19"/>
    <n v="1170.6400000000001"/>
    <n v="22242.16"/>
  </r>
  <r>
    <n v="1469"/>
    <x v="129"/>
    <x v="3"/>
    <x v="1"/>
    <x v="2"/>
    <n v="4"/>
    <n v="957.57"/>
    <n v="3830.28"/>
  </r>
  <r>
    <n v="1470"/>
    <x v="265"/>
    <x v="4"/>
    <x v="0"/>
    <x v="1"/>
    <n v="10"/>
    <n v="162.62"/>
    <n v="1626.2"/>
  </r>
  <r>
    <n v="1471"/>
    <x v="217"/>
    <x v="3"/>
    <x v="0"/>
    <x v="2"/>
    <n v="9"/>
    <n v="1410.97"/>
    <n v="12698.73"/>
  </r>
  <r>
    <n v="1472"/>
    <x v="65"/>
    <x v="3"/>
    <x v="3"/>
    <x v="2"/>
    <n v="12"/>
    <n v="155.72"/>
    <n v="1868.64"/>
  </r>
  <r>
    <n v="1473"/>
    <x v="55"/>
    <x v="4"/>
    <x v="1"/>
    <x v="0"/>
    <n v="7"/>
    <n v="466.87"/>
    <n v="3268.09"/>
  </r>
  <r>
    <n v="1474"/>
    <x v="21"/>
    <x v="3"/>
    <x v="2"/>
    <x v="2"/>
    <n v="6"/>
    <n v="362.81"/>
    <n v="2176.86"/>
  </r>
  <r>
    <n v="1475"/>
    <x v="122"/>
    <x v="2"/>
    <x v="1"/>
    <x v="2"/>
    <n v="10"/>
    <n v="1414.59"/>
    <n v="14145.9"/>
  </r>
  <r>
    <n v="1476"/>
    <x v="43"/>
    <x v="1"/>
    <x v="1"/>
    <x v="4"/>
    <n v="6"/>
    <n v="1056.52"/>
    <n v="6339.12"/>
  </r>
  <r>
    <n v="1477"/>
    <x v="134"/>
    <x v="0"/>
    <x v="0"/>
    <x v="4"/>
    <n v="3"/>
    <n v="1243.8699999999999"/>
    <n v="3731.61"/>
  </r>
  <r>
    <n v="1478"/>
    <x v="266"/>
    <x v="1"/>
    <x v="2"/>
    <x v="1"/>
    <n v="9"/>
    <n v="301.42"/>
    <n v="2712.78"/>
  </r>
  <r>
    <n v="1479"/>
    <x v="161"/>
    <x v="2"/>
    <x v="3"/>
    <x v="4"/>
    <n v="2"/>
    <n v="1091.8699999999999"/>
    <n v="2183.7399999999998"/>
  </r>
  <r>
    <n v="1480"/>
    <x v="32"/>
    <x v="3"/>
    <x v="1"/>
    <x v="1"/>
    <n v="13"/>
    <n v="1089.52"/>
    <n v="14163.76"/>
  </r>
  <r>
    <n v="1481"/>
    <x v="151"/>
    <x v="4"/>
    <x v="3"/>
    <x v="3"/>
    <n v="6"/>
    <n v="536.35"/>
    <n v="3218.1"/>
  </r>
  <r>
    <n v="1482"/>
    <x v="220"/>
    <x v="0"/>
    <x v="3"/>
    <x v="2"/>
    <n v="12"/>
    <n v="1157.5899999999999"/>
    <n v="13891.08"/>
  </r>
  <r>
    <n v="1483"/>
    <x v="198"/>
    <x v="4"/>
    <x v="0"/>
    <x v="4"/>
    <n v="9"/>
    <n v="1469.13"/>
    <n v="13222.17"/>
  </r>
  <r>
    <n v="1484"/>
    <x v="133"/>
    <x v="2"/>
    <x v="3"/>
    <x v="2"/>
    <n v="4"/>
    <n v="1395.66"/>
    <n v="5582.64"/>
  </r>
  <r>
    <n v="1485"/>
    <x v="237"/>
    <x v="3"/>
    <x v="0"/>
    <x v="0"/>
    <n v="19"/>
    <n v="1170.3"/>
    <n v="22235.7"/>
  </r>
  <r>
    <n v="1486"/>
    <x v="127"/>
    <x v="4"/>
    <x v="3"/>
    <x v="2"/>
    <n v="14"/>
    <n v="137.41"/>
    <n v="1923.74"/>
  </r>
  <r>
    <n v="1487"/>
    <x v="267"/>
    <x v="2"/>
    <x v="1"/>
    <x v="4"/>
    <n v="8"/>
    <n v="943.53"/>
    <n v="7548.24"/>
  </r>
  <r>
    <n v="1488"/>
    <x v="262"/>
    <x v="0"/>
    <x v="2"/>
    <x v="3"/>
    <n v="19"/>
    <n v="51.31"/>
    <n v="974.8900000000001"/>
  </r>
  <r>
    <n v="1489"/>
    <x v="258"/>
    <x v="2"/>
    <x v="0"/>
    <x v="1"/>
    <n v="18"/>
    <n v="1184.42"/>
    <n v="21319.56"/>
  </r>
  <r>
    <n v="1490"/>
    <x v="60"/>
    <x v="3"/>
    <x v="1"/>
    <x v="4"/>
    <n v="10"/>
    <n v="88.69"/>
    <n v="886.9"/>
  </r>
  <r>
    <n v="1491"/>
    <x v="236"/>
    <x v="4"/>
    <x v="2"/>
    <x v="3"/>
    <n v="5"/>
    <n v="1464.55"/>
    <n v="7322.75"/>
  </r>
  <r>
    <n v="1492"/>
    <x v="268"/>
    <x v="2"/>
    <x v="3"/>
    <x v="0"/>
    <n v="11"/>
    <n v="498.49"/>
    <n v="5483.39"/>
  </r>
  <r>
    <n v="1493"/>
    <x v="216"/>
    <x v="1"/>
    <x v="2"/>
    <x v="2"/>
    <n v="2"/>
    <n v="967.97"/>
    <n v="1935.94"/>
  </r>
  <r>
    <n v="1494"/>
    <x v="269"/>
    <x v="3"/>
    <x v="2"/>
    <x v="2"/>
    <n v="14"/>
    <n v="878.77"/>
    <n v="12302.78"/>
  </r>
  <r>
    <n v="1495"/>
    <x v="13"/>
    <x v="3"/>
    <x v="3"/>
    <x v="3"/>
    <n v="3"/>
    <n v="1086.28"/>
    <n v="3258.84"/>
  </r>
  <r>
    <n v="1496"/>
    <x v="12"/>
    <x v="0"/>
    <x v="2"/>
    <x v="2"/>
    <n v="9"/>
    <n v="497.47"/>
    <n v="4477.2299999999996"/>
  </r>
  <r>
    <n v="1497"/>
    <x v="104"/>
    <x v="0"/>
    <x v="1"/>
    <x v="2"/>
    <n v="13"/>
    <n v="782.25"/>
    <n v="10169.25"/>
  </r>
  <r>
    <n v="1498"/>
    <x v="80"/>
    <x v="2"/>
    <x v="0"/>
    <x v="0"/>
    <n v="4"/>
    <n v="1051.2"/>
    <n v="4204.8"/>
  </r>
  <r>
    <n v="1499"/>
    <x v="48"/>
    <x v="0"/>
    <x v="1"/>
    <x v="2"/>
    <n v="18"/>
    <n v="517.07000000000005"/>
    <n v="9307.26"/>
  </r>
  <r>
    <n v="1500"/>
    <x v="270"/>
    <x v="0"/>
    <x v="0"/>
    <x v="1"/>
    <n v="19"/>
    <n v="1172.78"/>
    <n v="22282.82"/>
  </r>
  <r>
    <n v="1501"/>
    <x v="271"/>
    <x v="0"/>
    <x v="3"/>
    <x v="0"/>
    <n v="1"/>
    <n v="698.02"/>
    <n v="698.02"/>
  </r>
  <r>
    <n v="1502"/>
    <x v="178"/>
    <x v="4"/>
    <x v="1"/>
    <x v="2"/>
    <n v="9"/>
    <n v="1454.47"/>
    <n v="13090.23"/>
  </r>
  <r>
    <n v="1503"/>
    <x v="95"/>
    <x v="3"/>
    <x v="0"/>
    <x v="3"/>
    <n v="5"/>
    <n v="124.07"/>
    <n v="620.34999999999991"/>
  </r>
  <r>
    <n v="1504"/>
    <x v="272"/>
    <x v="4"/>
    <x v="3"/>
    <x v="1"/>
    <n v="9"/>
    <n v="104.82"/>
    <n v="943.37999999999988"/>
  </r>
  <r>
    <n v="1505"/>
    <x v="273"/>
    <x v="0"/>
    <x v="2"/>
    <x v="1"/>
    <n v="15"/>
    <n v="1435.93"/>
    <n v="21538.95"/>
  </r>
  <r>
    <n v="1506"/>
    <x v="57"/>
    <x v="3"/>
    <x v="1"/>
    <x v="1"/>
    <n v="11"/>
    <n v="59.27"/>
    <n v="651.97"/>
  </r>
  <r>
    <n v="1507"/>
    <x v="150"/>
    <x v="4"/>
    <x v="2"/>
    <x v="2"/>
    <n v="10"/>
    <n v="1411.2"/>
    <n v="14112"/>
  </r>
  <r>
    <n v="1508"/>
    <x v="274"/>
    <x v="1"/>
    <x v="0"/>
    <x v="1"/>
    <n v="10"/>
    <n v="1063.77"/>
    <n v="10637.7"/>
  </r>
  <r>
    <n v="1509"/>
    <x v="64"/>
    <x v="0"/>
    <x v="3"/>
    <x v="2"/>
    <n v="11"/>
    <n v="97.09"/>
    <n v="1067.99"/>
  </r>
  <r>
    <n v="1510"/>
    <x v="99"/>
    <x v="4"/>
    <x v="0"/>
    <x v="0"/>
    <n v="18"/>
    <n v="774.9"/>
    <n v="13948.2"/>
  </r>
  <r>
    <n v="1511"/>
    <x v="118"/>
    <x v="3"/>
    <x v="1"/>
    <x v="0"/>
    <n v="10"/>
    <n v="1432.64"/>
    <n v="14326.4"/>
  </r>
  <r>
    <n v="1512"/>
    <x v="275"/>
    <x v="2"/>
    <x v="3"/>
    <x v="3"/>
    <n v="14"/>
    <n v="758.12"/>
    <n v="10613.68"/>
  </r>
  <r>
    <n v="1513"/>
    <x v="129"/>
    <x v="2"/>
    <x v="3"/>
    <x v="2"/>
    <n v="7"/>
    <n v="389.76"/>
    <n v="2728.32"/>
  </r>
  <r>
    <n v="1514"/>
    <x v="101"/>
    <x v="0"/>
    <x v="2"/>
    <x v="2"/>
    <n v="9"/>
    <n v="1013.04"/>
    <n v="9117.36"/>
  </r>
  <r>
    <n v="1515"/>
    <x v="52"/>
    <x v="1"/>
    <x v="1"/>
    <x v="0"/>
    <n v="5"/>
    <n v="1236.49"/>
    <n v="6182.45"/>
  </r>
  <r>
    <n v="1516"/>
    <x v="153"/>
    <x v="0"/>
    <x v="1"/>
    <x v="2"/>
    <n v="1"/>
    <n v="1244.27"/>
    <n v="1244.27"/>
  </r>
  <r>
    <n v="1517"/>
    <x v="220"/>
    <x v="1"/>
    <x v="0"/>
    <x v="4"/>
    <n v="18"/>
    <n v="677.67"/>
    <n v="12198.06"/>
  </r>
  <r>
    <n v="1518"/>
    <x v="276"/>
    <x v="1"/>
    <x v="3"/>
    <x v="2"/>
    <n v="8"/>
    <n v="117.51"/>
    <n v="940.08"/>
  </r>
  <r>
    <n v="1519"/>
    <x v="238"/>
    <x v="2"/>
    <x v="2"/>
    <x v="4"/>
    <n v="9"/>
    <n v="564.29"/>
    <n v="5078.6099999999997"/>
  </r>
  <r>
    <n v="1520"/>
    <x v="263"/>
    <x v="2"/>
    <x v="1"/>
    <x v="1"/>
    <n v="2"/>
    <n v="372.58"/>
    <n v="745.16"/>
  </r>
  <r>
    <n v="1521"/>
    <x v="221"/>
    <x v="1"/>
    <x v="1"/>
    <x v="1"/>
    <n v="1"/>
    <n v="131.84"/>
    <n v="131.84"/>
  </r>
  <r>
    <n v="1522"/>
    <x v="277"/>
    <x v="4"/>
    <x v="2"/>
    <x v="0"/>
    <n v="5"/>
    <n v="1092.82"/>
    <n v="5464.0999999999995"/>
  </r>
  <r>
    <n v="1523"/>
    <x v="197"/>
    <x v="3"/>
    <x v="3"/>
    <x v="2"/>
    <n v="17"/>
    <n v="1497.52"/>
    <n v="25457.84"/>
  </r>
  <r>
    <n v="1524"/>
    <x v="157"/>
    <x v="4"/>
    <x v="1"/>
    <x v="2"/>
    <n v="14"/>
    <n v="99.46"/>
    <n v="1392.44"/>
  </r>
  <r>
    <n v="1525"/>
    <x v="30"/>
    <x v="3"/>
    <x v="0"/>
    <x v="2"/>
    <n v="14"/>
    <n v="1069.3800000000001"/>
    <n v="14971.32"/>
  </r>
  <r>
    <n v="1526"/>
    <x v="231"/>
    <x v="1"/>
    <x v="2"/>
    <x v="4"/>
    <n v="13"/>
    <n v="1421.58"/>
    <n v="18480.54"/>
  </r>
  <r>
    <n v="1527"/>
    <x v="246"/>
    <x v="0"/>
    <x v="1"/>
    <x v="4"/>
    <n v="9"/>
    <n v="724.55"/>
    <n v="6520.95"/>
  </r>
  <r>
    <n v="1528"/>
    <x v="278"/>
    <x v="0"/>
    <x v="2"/>
    <x v="1"/>
    <n v="5"/>
    <n v="682.04"/>
    <n v="3410.2"/>
  </r>
  <r>
    <n v="1529"/>
    <x v="44"/>
    <x v="0"/>
    <x v="0"/>
    <x v="3"/>
    <n v="14"/>
    <n v="864.75"/>
    <n v="12106.5"/>
  </r>
  <r>
    <n v="1530"/>
    <x v="65"/>
    <x v="3"/>
    <x v="2"/>
    <x v="1"/>
    <n v="18"/>
    <n v="884.04"/>
    <n v="15912.72"/>
  </r>
  <r>
    <n v="1531"/>
    <x v="95"/>
    <x v="4"/>
    <x v="0"/>
    <x v="3"/>
    <n v="15"/>
    <n v="62.08"/>
    <n v="931.19999999999993"/>
  </r>
  <r>
    <n v="1532"/>
    <x v="179"/>
    <x v="4"/>
    <x v="0"/>
    <x v="0"/>
    <n v="15"/>
    <n v="83.41"/>
    <n v="1251.1500000000001"/>
  </r>
  <r>
    <n v="1533"/>
    <x v="279"/>
    <x v="2"/>
    <x v="0"/>
    <x v="2"/>
    <n v="3"/>
    <n v="840.87"/>
    <n v="2522.61"/>
  </r>
  <r>
    <n v="1534"/>
    <x v="75"/>
    <x v="1"/>
    <x v="2"/>
    <x v="1"/>
    <n v="14"/>
    <n v="791.39"/>
    <n v="11079.46"/>
  </r>
  <r>
    <n v="1535"/>
    <x v="92"/>
    <x v="0"/>
    <x v="2"/>
    <x v="4"/>
    <n v="2"/>
    <n v="988.7"/>
    <n v="1977.4"/>
  </r>
  <r>
    <n v="1536"/>
    <x v="92"/>
    <x v="1"/>
    <x v="1"/>
    <x v="0"/>
    <n v="8"/>
    <n v="577.38"/>
    <n v="4619.04"/>
  </r>
  <r>
    <n v="1537"/>
    <x v="244"/>
    <x v="0"/>
    <x v="2"/>
    <x v="2"/>
    <n v="18"/>
    <n v="435.65"/>
    <n v="7841.7"/>
  </r>
  <r>
    <n v="1538"/>
    <x v="241"/>
    <x v="0"/>
    <x v="0"/>
    <x v="1"/>
    <n v="17"/>
    <n v="377.72"/>
    <n v="6421.2400000000007"/>
  </r>
  <r>
    <n v="1539"/>
    <x v="100"/>
    <x v="4"/>
    <x v="1"/>
    <x v="0"/>
    <n v="4"/>
    <n v="913.05"/>
    <n v="3652.2"/>
  </r>
  <r>
    <n v="1540"/>
    <x v="280"/>
    <x v="2"/>
    <x v="2"/>
    <x v="2"/>
    <n v="18"/>
    <n v="1288.3499999999999"/>
    <n v="23190.3"/>
  </r>
  <r>
    <n v="1541"/>
    <x v="271"/>
    <x v="3"/>
    <x v="0"/>
    <x v="0"/>
    <n v="19"/>
    <n v="1054.6099999999999"/>
    <n v="20037.59"/>
  </r>
  <r>
    <n v="1542"/>
    <x v="16"/>
    <x v="1"/>
    <x v="3"/>
    <x v="1"/>
    <n v="7"/>
    <n v="103.66"/>
    <n v="725.62"/>
  </r>
  <r>
    <n v="1543"/>
    <x v="245"/>
    <x v="3"/>
    <x v="2"/>
    <x v="4"/>
    <n v="13"/>
    <n v="79.959999999999994"/>
    <n v="1039.48"/>
  </r>
  <r>
    <n v="1544"/>
    <x v="236"/>
    <x v="3"/>
    <x v="3"/>
    <x v="2"/>
    <n v="12"/>
    <n v="1366.97"/>
    <n v="16403.64"/>
  </r>
  <r>
    <n v="1545"/>
    <x v="198"/>
    <x v="4"/>
    <x v="1"/>
    <x v="4"/>
    <n v="10"/>
    <n v="677.36"/>
    <n v="6773.6"/>
  </r>
  <r>
    <n v="1546"/>
    <x v="272"/>
    <x v="0"/>
    <x v="1"/>
    <x v="0"/>
    <n v="2"/>
    <n v="1243.95"/>
    <n v="2487.9"/>
  </r>
  <r>
    <n v="1547"/>
    <x v="258"/>
    <x v="0"/>
    <x v="3"/>
    <x v="3"/>
    <n v="9"/>
    <n v="519.07000000000005"/>
    <n v="4671.63"/>
  </r>
  <r>
    <n v="1548"/>
    <x v="272"/>
    <x v="4"/>
    <x v="1"/>
    <x v="2"/>
    <n v="16"/>
    <n v="378.87"/>
    <n v="6061.92"/>
  </r>
  <r>
    <n v="1549"/>
    <x v="245"/>
    <x v="0"/>
    <x v="1"/>
    <x v="4"/>
    <n v="18"/>
    <n v="455.55"/>
    <n v="8199.9"/>
  </r>
  <r>
    <n v="1550"/>
    <x v="133"/>
    <x v="4"/>
    <x v="2"/>
    <x v="2"/>
    <n v="18"/>
    <n v="1001.21"/>
    <n v="18021.78"/>
  </r>
  <r>
    <n v="1551"/>
    <x v="172"/>
    <x v="1"/>
    <x v="0"/>
    <x v="4"/>
    <n v="3"/>
    <n v="577.55999999999995"/>
    <n v="1732.68"/>
  </r>
  <r>
    <n v="1552"/>
    <x v="281"/>
    <x v="4"/>
    <x v="0"/>
    <x v="0"/>
    <n v="10"/>
    <n v="300.5"/>
    <n v="3005"/>
  </r>
  <r>
    <n v="1553"/>
    <x v="234"/>
    <x v="1"/>
    <x v="1"/>
    <x v="3"/>
    <n v="12"/>
    <n v="541.11"/>
    <n v="6493.32"/>
  </r>
  <r>
    <n v="1554"/>
    <x v="140"/>
    <x v="0"/>
    <x v="1"/>
    <x v="3"/>
    <n v="17"/>
    <n v="1214.1099999999999"/>
    <n v="20639.87"/>
  </r>
  <r>
    <n v="1555"/>
    <x v="47"/>
    <x v="3"/>
    <x v="2"/>
    <x v="3"/>
    <n v="10"/>
    <n v="1065.4100000000001"/>
    <n v="10654.1"/>
  </r>
  <r>
    <n v="1556"/>
    <x v="105"/>
    <x v="4"/>
    <x v="2"/>
    <x v="3"/>
    <n v="19"/>
    <n v="749.76"/>
    <n v="14245.44"/>
  </r>
  <r>
    <n v="1557"/>
    <x v="32"/>
    <x v="2"/>
    <x v="3"/>
    <x v="1"/>
    <n v="18"/>
    <n v="215.2"/>
    <n v="3873.6"/>
  </r>
  <r>
    <n v="1558"/>
    <x v="282"/>
    <x v="4"/>
    <x v="2"/>
    <x v="0"/>
    <n v="3"/>
    <n v="1221.5"/>
    <n v="3664.5"/>
  </r>
  <r>
    <n v="1559"/>
    <x v="57"/>
    <x v="1"/>
    <x v="3"/>
    <x v="0"/>
    <n v="16"/>
    <n v="644.72"/>
    <n v="10315.52"/>
  </r>
  <r>
    <n v="1560"/>
    <x v="226"/>
    <x v="4"/>
    <x v="0"/>
    <x v="0"/>
    <n v="14"/>
    <n v="562.15"/>
    <n v="7870.0999999999995"/>
  </r>
  <r>
    <n v="1561"/>
    <x v="247"/>
    <x v="1"/>
    <x v="1"/>
    <x v="3"/>
    <n v="12"/>
    <n v="868.28"/>
    <n v="10419.36"/>
  </r>
  <r>
    <n v="1562"/>
    <x v="139"/>
    <x v="2"/>
    <x v="2"/>
    <x v="0"/>
    <n v="4"/>
    <n v="1169.0999999999999"/>
    <n v="4676.3999999999996"/>
  </r>
  <r>
    <n v="1563"/>
    <x v="283"/>
    <x v="1"/>
    <x v="3"/>
    <x v="4"/>
    <n v="6"/>
    <n v="1396.3"/>
    <n v="8377.7999999999993"/>
  </r>
  <r>
    <n v="1564"/>
    <x v="276"/>
    <x v="2"/>
    <x v="2"/>
    <x v="0"/>
    <n v="10"/>
    <n v="109.66"/>
    <n v="1096.5999999999999"/>
  </r>
  <r>
    <n v="1565"/>
    <x v="104"/>
    <x v="2"/>
    <x v="0"/>
    <x v="2"/>
    <n v="8"/>
    <n v="1494.57"/>
    <n v="11956.56"/>
  </r>
  <r>
    <n v="1566"/>
    <x v="124"/>
    <x v="4"/>
    <x v="1"/>
    <x v="1"/>
    <n v="17"/>
    <n v="255.91"/>
    <n v="4350.47"/>
  </r>
  <r>
    <n v="1567"/>
    <x v="284"/>
    <x v="1"/>
    <x v="0"/>
    <x v="4"/>
    <n v="18"/>
    <n v="693.03"/>
    <n v="12474.54"/>
  </r>
  <r>
    <n v="1568"/>
    <x v="285"/>
    <x v="2"/>
    <x v="3"/>
    <x v="0"/>
    <n v="14"/>
    <n v="674.55"/>
    <n v="9443.6999999999989"/>
  </r>
  <r>
    <n v="1569"/>
    <x v="191"/>
    <x v="1"/>
    <x v="3"/>
    <x v="2"/>
    <n v="1"/>
    <n v="635.75"/>
    <n v="635.75"/>
  </r>
  <r>
    <n v="1570"/>
    <x v="98"/>
    <x v="4"/>
    <x v="1"/>
    <x v="1"/>
    <n v="8"/>
    <n v="1033.32"/>
    <n v="8266.56"/>
  </r>
  <r>
    <n v="1571"/>
    <x v="221"/>
    <x v="1"/>
    <x v="0"/>
    <x v="1"/>
    <n v="4"/>
    <n v="1441.85"/>
    <n v="5767.4"/>
  </r>
  <r>
    <n v="1572"/>
    <x v="286"/>
    <x v="1"/>
    <x v="0"/>
    <x v="3"/>
    <n v="1"/>
    <n v="954.47"/>
    <n v="954.47"/>
  </r>
  <r>
    <n v="1573"/>
    <x v="61"/>
    <x v="2"/>
    <x v="3"/>
    <x v="4"/>
    <n v="5"/>
    <n v="668.36"/>
    <n v="3341.8"/>
  </r>
  <r>
    <n v="1574"/>
    <x v="287"/>
    <x v="0"/>
    <x v="0"/>
    <x v="4"/>
    <n v="6"/>
    <n v="759.89"/>
    <n v="4559.34"/>
  </r>
  <r>
    <n v="1575"/>
    <x v="245"/>
    <x v="2"/>
    <x v="1"/>
    <x v="4"/>
    <n v="11"/>
    <n v="1497.08"/>
    <n v="16467.88"/>
  </r>
  <r>
    <n v="1576"/>
    <x v="37"/>
    <x v="2"/>
    <x v="3"/>
    <x v="0"/>
    <n v="17"/>
    <n v="130.44"/>
    <n v="2217.48"/>
  </r>
  <r>
    <n v="1577"/>
    <x v="288"/>
    <x v="0"/>
    <x v="0"/>
    <x v="2"/>
    <n v="2"/>
    <n v="1275.27"/>
    <n v="2550.54"/>
  </r>
  <r>
    <n v="1578"/>
    <x v="30"/>
    <x v="2"/>
    <x v="1"/>
    <x v="0"/>
    <n v="17"/>
    <n v="1149.6300000000001"/>
    <n v="19543.71"/>
  </r>
  <r>
    <n v="1579"/>
    <x v="90"/>
    <x v="4"/>
    <x v="1"/>
    <x v="1"/>
    <n v="1"/>
    <n v="1056.1400000000001"/>
    <n v="1056.1400000000001"/>
  </r>
  <r>
    <n v="1580"/>
    <x v="251"/>
    <x v="1"/>
    <x v="1"/>
    <x v="4"/>
    <n v="6"/>
    <n v="555.28"/>
    <n v="3331.68"/>
  </r>
  <r>
    <n v="1581"/>
    <x v="99"/>
    <x v="1"/>
    <x v="2"/>
    <x v="0"/>
    <n v="10"/>
    <n v="327.63"/>
    <n v="3276.3"/>
  </r>
  <r>
    <n v="1582"/>
    <x v="106"/>
    <x v="4"/>
    <x v="0"/>
    <x v="4"/>
    <n v="5"/>
    <n v="1018.84"/>
    <n v="5094.2"/>
  </r>
  <r>
    <n v="1583"/>
    <x v="84"/>
    <x v="2"/>
    <x v="2"/>
    <x v="3"/>
    <n v="7"/>
    <n v="897.19"/>
    <n v="6280.33"/>
  </r>
  <r>
    <n v="1584"/>
    <x v="186"/>
    <x v="1"/>
    <x v="3"/>
    <x v="2"/>
    <n v="17"/>
    <n v="1381.35"/>
    <n v="23482.95"/>
  </r>
  <r>
    <n v="1585"/>
    <x v="289"/>
    <x v="4"/>
    <x v="3"/>
    <x v="4"/>
    <n v="9"/>
    <n v="1034.0999999999999"/>
    <n v="9306.9"/>
  </r>
  <r>
    <n v="1586"/>
    <x v="156"/>
    <x v="0"/>
    <x v="0"/>
    <x v="3"/>
    <n v="9"/>
    <n v="420.65"/>
    <n v="3785.85"/>
  </r>
  <r>
    <n v="1587"/>
    <x v="196"/>
    <x v="0"/>
    <x v="0"/>
    <x v="3"/>
    <n v="3"/>
    <n v="59.86"/>
    <n v="179.58"/>
  </r>
  <r>
    <n v="1588"/>
    <x v="240"/>
    <x v="1"/>
    <x v="0"/>
    <x v="0"/>
    <n v="4"/>
    <n v="606.75"/>
    <n v="2427"/>
  </r>
  <r>
    <n v="1589"/>
    <x v="125"/>
    <x v="4"/>
    <x v="1"/>
    <x v="0"/>
    <n v="5"/>
    <n v="1367.09"/>
    <n v="6835.45"/>
  </r>
  <r>
    <n v="1590"/>
    <x v="10"/>
    <x v="0"/>
    <x v="1"/>
    <x v="0"/>
    <n v="8"/>
    <n v="574.5"/>
    <n v="4596"/>
  </r>
  <r>
    <n v="1591"/>
    <x v="23"/>
    <x v="4"/>
    <x v="3"/>
    <x v="3"/>
    <n v="17"/>
    <n v="438.38"/>
    <n v="7452.46"/>
  </r>
  <r>
    <n v="1592"/>
    <x v="118"/>
    <x v="0"/>
    <x v="2"/>
    <x v="3"/>
    <n v="15"/>
    <n v="1441.91"/>
    <n v="21628.65"/>
  </r>
  <r>
    <n v="1593"/>
    <x v="185"/>
    <x v="3"/>
    <x v="3"/>
    <x v="3"/>
    <n v="7"/>
    <n v="681.02"/>
    <n v="4767.1399999999994"/>
  </r>
  <r>
    <n v="1594"/>
    <x v="25"/>
    <x v="1"/>
    <x v="1"/>
    <x v="3"/>
    <n v="14"/>
    <n v="329.25"/>
    <n v="4609.5"/>
  </r>
  <r>
    <n v="1595"/>
    <x v="290"/>
    <x v="2"/>
    <x v="1"/>
    <x v="3"/>
    <n v="2"/>
    <n v="164.42"/>
    <n v="328.84"/>
  </r>
  <r>
    <n v="1596"/>
    <x v="3"/>
    <x v="4"/>
    <x v="2"/>
    <x v="4"/>
    <n v="17"/>
    <n v="488.52"/>
    <n v="8304.84"/>
  </r>
  <r>
    <n v="1597"/>
    <x v="278"/>
    <x v="0"/>
    <x v="1"/>
    <x v="3"/>
    <n v="18"/>
    <n v="459.07"/>
    <n v="8263.26"/>
  </r>
  <r>
    <n v="1598"/>
    <x v="255"/>
    <x v="1"/>
    <x v="1"/>
    <x v="2"/>
    <n v="17"/>
    <n v="390.03"/>
    <n v="6630.5099999999993"/>
  </r>
  <r>
    <n v="1599"/>
    <x v="90"/>
    <x v="4"/>
    <x v="3"/>
    <x v="2"/>
    <n v="10"/>
    <n v="1226.6199999999999"/>
    <n v="12266.2"/>
  </r>
  <r>
    <n v="1600"/>
    <x v="6"/>
    <x v="2"/>
    <x v="0"/>
    <x v="3"/>
    <n v="19"/>
    <n v="700.49"/>
    <n v="13309.31"/>
  </r>
  <r>
    <n v="1601"/>
    <x v="66"/>
    <x v="0"/>
    <x v="0"/>
    <x v="1"/>
    <n v="4"/>
    <n v="160.83000000000001"/>
    <n v="643.32000000000005"/>
  </r>
  <r>
    <n v="1602"/>
    <x v="229"/>
    <x v="2"/>
    <x v="1"/>
    <x v="2"/>
    <n v="14"/>
    <n v="101.56"/>
    <n v="1421.84"/>
  </r>
  <r>
    <n v="1603"/>
    <x v="124"/>
    <x v="1"/>
    <x v="1"/>
    <x v="2"/>
    <n v="8"/>
    <n v="482.06"/>
    <n v="3856.48"/>
  </r>
  <r>
    <n v="1604"/>
    <x v="120"/>
    <x v="0"/>
    <x v="1"/>
    <x v="3"/>
    <n v="13"/>
    <n v="310.02"/>
    <n v="4030.26"/>
  </r>
  <r>
    <n v="1605"/>
    <x v="288"/>
    <x v="2"/>
    <x v="2"/>
    <x v="3"/>
    <n v="11"/>
    <n v="197.77"/>
    <n v="2175.4699999999998"/>
  </r>
  <r>
    <n v="1606"/>
    <x v="223"/>
    <x v="1"/>
    <x v="0"/>
    <x v="1"/>
    <n v="17"/>
    <n v="1359.03"/>
    <n v="23103.51"/>
  </r>
  <r>
    <n v="1607"/>
    <x v="240"/>
    <x v="0"/>
    <x v="2"/>
    <x v="4"/>
    <n v="6"/>
    <n v="557.45000000000005"/>
    <n v="3344.7"/>
  </r>
  <r>
    <n v="1608"/>
    <x v="290"/>
    <x v="1"/>
    <x v="0"/>
    <x v="4"/>
    <n v="15"/>
    <n v="733.06"/>
    <n v="10995.9"/>
  </r>
  <r>
    <n v="1609"/>
    <x v="84"/>
    <x v="4"/>
    <x v="1"/>
    <x v="3"/>
    <n v="16"/>
    <n v="354.58"/>
    <n v="5673.28"/>
  </r>
  <r>
    <n v="1610"/>
    <x v="187"/>
    <x v="3"/>
    <x v="1"/>
    <x v="1"/>
    <n v="18"/>
    <n v="978.54"/>
    <n v="17613.72"/>
  </r>
  <r>
    <n v="1611"/>
    <x v="281"/>
    <x v="0"/>
    <x v="1"/>
    <x v="4"/>
    <n v="18"/>
    <n v="1251.05"/>
    <n v="22518.9"/>
  </r>
  <r>
    <n v="1612"/>
    <x v="188"/>
    <x v="3"/>
    <x v="2"/>
    <x v="4"/>
    <n v="15"/>
    <n v="1071.8499999999999"/>
    <n v="16077.75"/>
  </r>
  <r>
    <n v="1613"/>
    <x v="62"/>
    <x v="0"/>
    <x v="0"/>
    <x v="3"/>
    <n v="9"/>
    <n v="392.3"/>
    <n v="3530.7"/>
  </r>
  <r>
    <n v="1614"/>
    <x v="96"/>
    <x v="1"/>
    <x v="0"/>
    <x v="2"/>
    <n v="5"/>
    <n v="1357.53"/>
    <n v="6787.65"/>
  </r>
  <r>
    <n v="1615"/>
    <x v="45"/>
    <x v="0"/>
    <x v="3"/>
    <x v="0"/>
    <n v="19"/>
    <n v="184.54"/>
    <n v="3506.26"/>
  </r>
  <r>
    <n v="1616"/>
    <x v="291"/>
    <x v="0"/>
    <x v="3"/>
    <x v="0"/>
    <n v="14"/>
    <n v="1163.56"/>
    <n v="16289.84"/>
  </r>
  <r>
    <n v="1617"/>
    <x v="254"/>
    <x v="0"/>
    <x v="3"/>
    <x v="0"/>
    <n v="7"/>
    <n v="458.01"/>
    <n v="3206.07"/>
  </r>
  <r>
    <n v="1618"/>
    <x v="250"/>
    <x v="1"/>
    <x v="2"/>
    <x v="3"/>
    <n v="7"/>
    <n v="1077.27"/>
    <n v="7540.8899999999994"/>
  </r>
  <r>
    <n v="1619"/>
    <x v="181"/>
    <x v="4"/>
    <x v="2"/>
    <x v="3"/>
    <n v="19"/>
    <n v="261.13"/>
    <n v="4961.47"/>
  </r>
  <r>
    <n v="1620"/>
    <x v="178"/>
    <x v="3"/>
    <x v="3"/>
    <x v="1"/>
    <n v="2"/>
    <n v="397.8"/>
    <n v="795.6"/>
  </r>
  <r>
    <n v="1621"/>
    <x v="292"/>
    <x v="3"/>
    <x v="0"/>
    <x v="0"/>
    <n v="3"/>
    <n v="1195.1099999999999"/>
    <n v="3585.33"/>
  </r>
  <r>
    <n v="1622"/>
    <x v="120"/>
    <x v="3"/>
    <x v="0"/>
    <x v="0"/>
    <n v="8"/>
    <n v="515.85"/>
    <n v="4126.8"/>
  </r>
  <r>
    <n v="1623"/>
    <x v="228"/>
    <x v="2"/>
    <x v="3"/>
    <x v="0"/>
    <n v="1"/>
    <n v="377.57"/>
    <n v="377.57"/>
  </r>
  <r>
    <n v="1624"/>
    <x v="293"/>
    <x v="0"/>
    <x v="1"/>
    <x v="1"/>
    <n v="12"/>
    <n v="1367.67"/>
    <n v="16412.04"/>
  </r>
  <r>
    <n v="1625"/>
    <x v="170"/>
    <x v="2"/>
    <x v="0"/>
    <x v="1"/>
    <n v="16"/>
    <n v="1117.0999999999999"/>
    <n v="17873.599999999999"/>
  </r>
  <r>
    <n v="1626"/>
    <x v="287"/>
    <x v="1"/>
    <x v="0"/>
    <x v="2"/>
    <n v="14"/>
    <n v="473.47"/>
    <n v="6628.58"/>
  </r>
  <r>
    <n v="1627"/>
    <x v="294"/>
    <x v="3"/>
    <x v="0"/>
    <x v="0"/>
    <n v="14"/>
    <n v="1353.59"/>
    <n v="18950.259999999998"/>
  </r>
  <r>
    <n v="1628"/>
    <x v="167"/>
    <x v="0"/>
    <x v="0"/>
    <x v="3"/>
    <n v="15"/>
    <n v="280.57"/>
    <n v="4208.55"/>
  </r>
  <r>
    <n v="1629"/>
    <x v="87"/>
    <x v="3"/>
    <x v="2"/>
    <x v="3"/>
    <n v="14"/>
    <n v="267.63"/>
    <n v="3746.82"/>
  </r>
  <r>
    <n v="1630"/>
    <x v="15"/>
    <x v="1"/>
    <x v="2"/>
    <x v="0"/>
    <n v="16"/>
    <n v="710.07"/>
    <n v="11361.12"/>
  </r>
  <r>
    <n v="1631"/>
    <x v="126"/>
    <x v="1"/>
    <x v="1"/>
    <x v="1"/>
    <n v="9"/>
    <n v="524.24"/>
    <n v="4718.16"/>
  </r>
  <r>
    <n v="1632"/>
    <x v="30"/>
    <x v="3"/>
    <x v="0"/>
    <x v="4"/>
    <n v="18"/>
    <n v="1030.6400000000001"/>
    <n v="18551.52"/>
  </r>
  <r>
    <n v="1633"/>
    <x v="52"/>
    <x v="2"/>
    <x v="1"/>
    <x v="3"/>
    <n v="8"/>
    <n v="1171.46"/>
    <n v="9371.68"/>
  </r>
  <r>
    <n v="1634"/>
    <x v="121"/>
    <x v="3"/>
    <x v="2"/>
    <x v="2"/>
    <n v="12"/>
    <n v="1460.97"/>
    <n v="17531.64"/>
  </r>
  <r>
    <n v="1635"/>
    <x v="112"/>
    <x v="3"/>
    <x v="0"/>
    <x v="1"/>
    <n v="3"/>
    <n v="1056.3499999999999"/>
    <n v="3169.05"/>
  </r>
  <r>
    <n v="1636"/>
    <x v="177"/>
    <x v="4"/>
    <x v="3"/>
    <x v="0"/>
    <n v="16"/>
    <n v="100.74"/>
    <n v="1611.84"/>
  </r>
  <r>
    <n v="1637"/>
    <x v="295"/>
    <x v="4"/>
    <x v="2"/>
    <x v="2"/>
    <n v="7"/>
    <n v="370.01"/>
    <n v="2590.0700000000002"/>
  </r>
  <r>
    <n v="1638"/>
    <x v="147"/>
    <x v="3"/>
    <x v="3"/>
    <x v="4"/>
    <n v="16"/>
    <n v="1145.1300000000001"/>
    <n v="18322.080000000002"/>
  </r>
  <r>
    <n v="1639"/>
    <x v="18"/>
    <x v="3"/>
    <x v="3"/>
    <x v="0"/>
    <n v="6"/>
    <n v="443.05"/>
    <n v="2658.3"/>
  </r>
  <r>
    <n v="1640"/>
    <x v="160"/>
    <x v="1"/>
    <x v="2"/>
    <x v="3"/>
    <n v="4"/>
    <n v="626.34"/>
    <n v="2505.36"/>
  </r>
  <r>
    <n v="1641"/>
    <x v="18"/>
    <x v="0"/>
    <x v="0"/>
    <x v="1"/>
    <n v="2"/>
    <n v="540.15"/>
    <n v="1080.3"/>
  </r>
  <r>
    <n v="1642"/>
    <x v="196"/>
    <x v="0"/>
    <x v="1"/>
    <x v="1"/>
    <n v="15"/>
    <n v="1332.78"/>
    <n v="19991.7"/>
  </r>
  <r>
    <n v="1643"/>
    <x v="296"/>
    <x v="1"/>
    <x v="3"/>
    <x v="3"/>
    <n v="16"/>
    <n v="847.23"/>
    <n v="13555.68"/>
  </r>
  <r>
    <n v="1644"/>
    <x v="38"/>
    <x v="2"/>
    <x v="3"/>
    <x v="2"/>
    <n v="13"/>
    <n v="358.55"/>
    <n v="4661.1500000000005"/>
  </r>
  <r>
    <n v="1645"/>
    <x v="3"/>
    <x v="0"/>
    <x v="1"/>
    <x v="3"/>
    <n v="3"/>
    <n v="729.18"/>
    <n v="2187.54"/>
  </r>
  <r>
    <n v="1646"/>
    <x v="42"/>
    <x v="2"/>
    <x v="2"/>
    <x v="2"/>
    <n v="15"/>
    <n v="143.24"/>
    <n v="2148.6"/>
  </r>
  <r>
    <n v="1647"/>
    <x v="297"/>
    <x v="1"/>
    <x v="1"/>
    <x v="0"/>
    <n v="13"/>
    <n v="518.9"/>
    <n v="6745.7"/>
  </r>
  <r>
    <n v="1648"/>
    <x v="157"/>
    <x v="0"/>
    <x v="1"/>
    <x v="2"/>
    <n v="1"/>
    <n v="1074.73"/>
    <n v="1074.73"/>
  </r>
  <r>
    <n v="1649"/>
    <x v="233"/>
    <x v="2"/>
    <x v="2"/>
    <x v="0"/>
    <n v="19"/>
    <n v="121.08"/>
    <n v="2300.52"/>
  </r>
  <r>
    <n v="1650"/>
    <x v="143"/>
    <x v="1"/>
    <x v="1"/>
    <x v="3"/>
    <n v="6"/>
    <n v="243.17"/>
    <n v="1459.02"/>
  </r>
  <r>
    <n v="1651"/>
    <x v="9"/>
    <x v="4"/>
    <x v="0"/>
    <x v="0"/>
    <n v="1"/>
    <n v="1491.87"/>
    <n v="1491.87"/>
  </r>
  <r>
    <n v="1652"/>
    <x v="116"/>
    <x v="4"/>
    <x v="1"/>
    <x v="4"/>
    <n v="18"/>
    <n v="225.77"/>
    <n v="4063.86"/>
  </r>
  <r>
    <n v="1653"/>
    <x v="293"/>
    <x v="0"/>
    <x v="0"/>
    <x v="1"/>
    <n v="11"/>
    <n v="576.69000000000005"/>
    <n v="6343.59"/>
  </r>
  <r>
    <n v="1654"/>
    <x v="298"/>
    <x v="2"/>
    <x v="2"/>
    <x v="0"/>
    <n v="18"/>
    <n v="1266.8499999999999"/>
    <n v="22803.3"/>
  </r>
  <r>
    <n v="1655"/>
    <x v="299"/>
    <x v="4"/>
    <x v="3"/>
    <x v="3"/>
    <n v="3"/>
    <n v="478.63"/>
    <n v="1435.89"/>
  </r>
  <r>
    <n v="1656"/>
    <x v="300"/>
    <x v="2"/>
    <x v="1"/>
    <x v="4"/>
    <n v="8"/>
    <n v="1171.1400000000001"/>
    <n v="9369.1200000000008"/>
  </r>
  <r>
    <n v="1657"/>
    <x v="49"/>
    <x v="0"/>
    <x v="0"/>
    <x v="1"/>
    <n v="10"/>
    <n v="1265.94"/>
    <n v="12659.4"/>
  </r>
  <r>
    <n v="1658"/>
    <x v="53"/>
    <x v="4"/>
    <x v="1"/>
    <x v="4"/>
    <n v="19"/>
    <n v="264.27"/>
    <n v="5021.1299999999992"/>
  </r>
  <r>
    <n v="1659"/>
    <x v="192"/>
    <x v="1"/>
    <x v="2"/>
    <x v="3"/>
    <n v="7"/>
    <n v="552.65"/>
    <n v="3868.55"/>
  </r>
  <r>
    <n v="1660"/>
    <x v="128"/>
    <x v="0"/>
    <x v="2"/>
    <x v="3"/>
    <n v="9"/>
    <n v="801.15"/>
    <n v="7210.3499999999995"/>
  </r>
  <r>
    <n v="1661"/>
    <x v="301"/>
    <x v="2"/>
    <x v="2"/>
    <x v="4"/>
    <n v="8"/>
    <n v="1079.81"/>
    <n v="8638.48"/>
  </r>
  <r>
    <n v="1662"/>
    <x v="302"/>
    <x v="3"/>
    <x v="1"/>
    <x v="0"/>
    <n v="13"/>
    <n v="1089.75"/>
    <n v="14166.75"/>
  </r>
  <r>
    <n v="1663"/>
    <x v="303"/>
    <x v="3"/>
    <x v="1"/>
    <x v="1"/>
    <n v="10"/>
    <n v="152.81"/>
    <n v="1528.1"/>
  </r>
  <r>
    <n v="1664"/>
    <x v="199"/>
    <x v="2"/>
    <x v="1"/>
    <x v="4"/>
    <n v="1"/>
    <n v="307.64"/>
    <n v="307.64"/>
  </r>
  <r>
    <n v="1665"/>
    <x v="292"/>
    <x v="3"/>
    <x v="3"/>
    <x v="4"/>
    <n v="10"/>
    <n v="1379.31"/>
    <n v="13793.1"/>
  </r>
  <r>
    <n v="1666"/>
    <x v="35"/>
    <x v="1"/>
    <x v="0"/>
    <x v="2"/>
    <n v="7"/>
    <n v="753.11"/>
    <n v="5271.77"/>
  </r>
  <r>
    <n v="1667"/>
    <x v="304"/>
    <x v="2"/>
    <x v="2"/>
    <x v="3"/>
    <n v="7"/>
    <n v="128.59"/>
    <n v="900.13"/>
  </r>
  <r>
    <n v="1668"/>
    <x v="111"/>
    <x v="1"/>
    <x v="1"/>
    <x v="3"/>
    <n v="7"/>
    <n v="1211.5899999999999"/>
    <n v="8481.1299999999992"/>
  </r>
  <r>
    <n v="1669"/>
    <x v="293"/>
    <x v="3"/>
    <x v="2"/>
    <x v="0"/>
    <n v="8"/>
    <n v="832.46"/>
    <n v="6659.68"/>
  </r>
  <r>
    <n v="1670"/>
    <x v="100"/>
    <x v="1"/>
    <x v="1"/>
    <x v="0"/>
    <n v="17"/>
    <n v="977.9"/>
    <n v="16624.3"/>
  </r>
  <r>
    <n v="1671"/>
    <x v="210"/>
    <x v="0"/>
    <x v="1"/>
    <x v="0"/>
    <n v="9"/>
    <n v="261.48"/>
    <n v="2353.3200000000002"/>
  </r>
  <r>
    <n v="1672"/>
    <x v="69"/>
    <x v="0"/>
    <x v="2"/>
    <x v="2"/>
    <n v="4"/>
    <n v="1438.37"/>
    <n v="5753.48"/>
  </r>
  <r>
    <n v="1673"/>
    <x v="305"/>
    <x v="1"/>
    <x v="3"/>
    <x v="2"/>
    <n v="13"/>
    <n v="1469.37"/>
    <n v="19101.810000000001"/>
  </r>
  <r>
    <n v="1674"/>
    <x v="306"/>
    <x v="0"/>
    <x v="1"/>
    <x v="3"/>
    <n v="2"/>
    <n v="898.34"/>
    <n v="1796.68"/>
  </r>
  <r>
    <n v="1675"/>
    <x v="96"/>
    <x v="3"/>
    <x v="0"/>
    <x v="2"/>
    <n v="16"/>
    <n v="186.6"/>
    <n v="2985.6"/>
  </r>
  <r>
    <n v="1676"/>
    <x v="198"/>
    <x v="0"/>
    <x v="2"/>
    <x v="0"/>
    <n v="4"/>
    <n v="263.87"/>
    <n v="1055.48"/>
  </r>
  <r>
    <n v="1677"/>
    <x v="57"/>
    <x v="3"/>
    <x v="3"/>
    <x v="4"/>
    <n v="16"/>
    <n v="1059.3399999999999"/>
    <n v="16949.439999999999"/>
  </r>
  <r>
    <n v="1678"/>
    <x v="176"/>
    <x v="1"/>
    <x v="0"/>
    <x v="4"/>
    <n v="13"/>
    <n v="539.94000000000005"/>
    <n v="7019.2200000000012"/>
  </r>
  <r>
    <n v="1679"/>
    <x v="190"/>
    <x v="2"/>
    <x v="1"/>
    <x v="0"/>
    <n v="4"/>
    <n v="1190.33"/>
    <n v="4761.32"/>
  </r>
  <r>
    <n v="1680"/>
    <x v="77"/>
    <x v="1"/>
    <x v="1"/>
    <x v="2"/>
    <n v="1"/>
    <n v="1138"/>
    <n v="1138"/>
  </r>
  <r>
    <n v="1681"/>
    <x v="307"/>
    <x v="0"/>
    <x v="2"/>
    <x v="3"/>
    <n v="15"/>
    <n v="1063.1300000000001"/>
    <n v="15946.95"/>
  </r>
  <r>
    <n v="1682"/>
    <x v="233"/>
    <x v="3"/>
    <x v="2"/>
    <x v="3"/>
    <n v="4"/>
    <n v="554.97"/>
    <n v="2219.88"/>
  </r>
  <r>
    <n v="1683"/>
    <x v="103"/>
    <x v="2"/>
    <x v="1"/>
    <x v="2"/>
    <n v="16"/>
    <n v="701.31"/>
    <n v="11220.96"/>
  </r>
  <r>
    <n v="1684"/>
    <x v="100"/>
    <x v="1"/>
    <x v="2"/>
    <x v="4"/>
    <n v="18"/>
    <n v="194.6"/>
    <n v="3502.8"/>
  </r>
  <r>
    <n v="1685"/>
    <x v="35"/>
    <x v="1"/>
    <x v="2"/>
    <x v="3"/>
    <n v="3"/>
    <n v="433.64"/>
    <n v="1300.92"/>
  </r>
  <r>
    <n v="1686"/>
    <x v="308"/>
    <x v="3"/>
    <x v="1"/>
    <x v="2"/>
    <n v="17"/>
    <n v="1093.42"/>
    <n v="18588.14"/>
  </r>
  <r>
    <n v="1687"/>
    <x v="56"/>
    <x v="2"/>
    <x v="1"/>
    <x v="1"/>
    <n v="9"/>
    <n v="1086.82"/>
    <n v="9781.3799999999992"/>
  </r>
  <r>
    <n v="1688"/>
    <x v="278"/>
    <x v="4"/>
    <x v="1"/>
    <x v="2"/>
    <n v="3"/>
    <n v="756.22"/>
    <n v="2268.66"/>
  </r>
  <r>
    <n v="1689"/>
    <x v="67"/>
    <x v="0"/>
    <x v="2"/>
    <x v="3"/>
    <n v="14"/>
    <n v="998.13"/>
    <n v="13973.82"/>
  </r>
  <r>
    <n v="1690"/>
    <x v="274"/>
    <x v="4"/>
    <x v="1"/>
    <x v="3"/>
    <n v="10"/>
    <n v="897.7"/>
    <n v="8977"/>
  </r>
  <r>
    <n v="1691"/>
    <x v="286"/>
    <x v="0"/>
    <x v="2"/>
    <x v="3"/>
    <n v="3"/>
    <n v="1474.66"/>
    <n v="4423.9799999999996"/>
  </r>
  <r>
    <n v="1692"/>
    <x v="101"/>
    <x v="2"/>
    <x v="1"/>
    <x v="4"/>
    <n v="12"/>
    <n v="1280.55"/>
    <n v="15366.6"/>
  </r>
  <r>
    <n v="1693"/>
    <x v="136"/>
    <x v="4"/>
    <x v="0"/>
    <x v="4"/>
    <n v="14"/>
    <n v="760.55"/>
    <n v="10647.7"/>
  </r>
  <r>
    <n v="1694"/>
    <x v="230"/>
    <x v="3"/>
    <x v="0"/>
    <x v="1"/>
    <n v="14"/>
    <n v="463.45"/>
    <n v="6488.3"/>
  </r>
  <r>
    <n v="1695"/>
    <x v="169"/>
    <x v="2"/>
    <x v="0"/>
    <x v="3"/>
    <n v="7"/>
    <n v="1443.75"/>
    <n v="10106.25"/>
  </r>
  <r>
    <n v="1696"/>
    <x v="15"/>
    <x v="0"/>
    <x v="1"/>
    <x v="2"/>
    <n v="5"/>
    <n v="1273.72"/>
    <n v="6368.6"/>
  </r>
  <r>
    <n v="1697"/>
    <x v="301"/>
    <x v="1"/>
    <x v="3"/>
    <x v="4"/>
    <n v="11"/>
    <n v="514.11"/>
    <n v="5655.21"/>
  </r>
  <r>
    <n v="1698"/>
    <x v="69"/>
    <x v="1"/>
    <x v="3"/>
    <x v="1"/>
    <n v="3"/>
    <n v="543.84"/>
    <n v="1631.52"/>
  </r>
  <r>
    <n v="1699"/>
    <x v="97"/>
    <x v="2"/>
    <x v="1"/>
    <x v="1"/>
    <n v="7"/>
    <n v="95.09"/>
    <n v="665.63"/>
  </r>
  <r>
    <n v="1700"/>
    <x v="119"/>
    <x v="1"/>
    <x v="1"/>
    <x v="0"/>
    <n v="17"/>
    <n v="684.22"/>
    <n v="11631.74"/>
  </r>
  <r>
    <n v="1701"/>
    <x v="163"/>
    <x v="4"/>
    <x v="1"/>
    <x v="3"/>
    <n v="5"/>
    <n v="452.45"/>
    <n v="2262.25"/>
  </r>
  <r>
    <n v="1702"/>
    <x v="228"/>
    <x v="1"/>
    <x v="3"/>
    <x v="0"/>
    <n v="3"/>
    <n v="115.18"/>
    <n v="345.54"/>
  </r>
  <r>
    <n v="1703"/>
    <x v="272"/>
    <x v="0"/>
    <x v="2"/>
    <x v="3"/>
    <n v="5"/>
    <n v="253.1"/>
    <n v="1265.5"/>
  </r>
  <r>
    <n v="1704"/>
    <x v="309"/>
    <x v="4"/>
    <x v="0"/>
    <x v="0"/>
    <n v="8"/>
    <n v="431.39"/>
    <n v="3451.12"/>
  </r>
  <r>
    <n v="1705"/>
    <x v="299"/>
    <x v="1"/>
    <x v="2"/>
    <x v="0"/>
    <n v="10"/>
    <n v="300.3"/>
    <n v="3003"/>
  </r>
  <r>
    <n v="1706"/>
    <x v="310"/>
    <x v="3"/>
    <x v="3"/>
    <x v="1"/>
    <n v="17"/>
    <n v="1357.84"/>
    <n v="23083.279999999999"/>
  </r>
  <r>
    <n v="1707"/>
    <x v="310"/>
    <x v="3"/>
    <x v="1"/>
    <x v="3"/>
    <n v="18"/>
    <n v="309.39"/>
    <n v="5569.02"/>
  </r>
  <r>
    <n v="1708"/>
    <x v="311"/>
    <x v="2"/>
    <x v="0"/>
    <x v="2"/>
    <n v="18"/>
    <n v="643.30999999999995"/>
    <n v="11579.58"/>
  </r>
  <r>
    <n v="1709"/>
    <x v="113"/>
    <x v="0"/>
    <x v="0"/>
    <x v="4"/>
    <n v="6"/>
    <n v="942.03"/>
    <n v="5652.18"/>
  </r>
  <r>
    <n v="1710"/>
    <x v="77"/>
    <x v="3"/>
    <x v="0"/>
    <x v="1"/>
    <n v="12"/>
    <n v="1495.34"/>
    <n v="17944.080000000002"/>
  </r>
  <r>
    <n v="1711"/>
    <x v="193"/>
    <x v="4"/>
    <x v="1"/>
    <x v="4"/>
    <n v="7"/>
    <n v="637.01"/>
    <n v="4459.07"/>
  </r>
  <r>
    <n v="1712"/>
    <x v="183"/>
    <x v="0"/>
    <x v="0"/>
    <x v="3"/>
    <n v="10"/>
    <n v="1312.5"/>
    <n v="13125"/>
  </r>
  <r>
    <n v="1713"/>
    <x v="271"/>
    <x v="1"/>
    <x v="1"/>
    <x v="1"/>
    <n v="19"/>
    <n v="1090.3800000000001"/>
    <n v="20717.22"/>
  </r>
  <r>
    <n v="1714"/>
    <x v="196"/>
    <x v="2"/>
    <x v="1"/>
    <x v="3"/>
    <n v="1"/>
    <n v="834.48"/>
    <n v="834.48"/>
  </r>
  <r>
    <n v="1715"/>
    <x v="185"/>
    <x v="3"/>
    <x v="3"/>
    <x v="4"/>
    <n v="1"/>
    <n v="1192.32"/>
    <n v="1192.32"/>
  </r>
  <r>
    <n v="1716"/>
    <x v="124"/>
    <x v="4"/>
    <x v="3"/>
    <x v="1"/>
    <n v="3"/>
    <n v="1154.8900000000001"/>
    <n v="3464.67"/>
  </r>
  <r>
    <n v="1717"/>
    <x v="44"/>
    <x v="0"/>
    <x v="1"/>
    <x v="1"/>
    <n v="11"/>
    <n v="993.41"/>
    <n v="10927.51"/>
  </r>
  <r>
    <n v="1718"/>
    <x v="84"/>
    <x v="1"/>
    <x v="3"/>
    <x v="3"/>
    <n v="1"/>
    <n v="713.14"/>
    <n v="713.14"/>
  </r>
  <r>
    <n v="1719"/>
    <x v="275"/>
    <x v="4"/>
    <x v="0"/>
    <x v="1"/>
    <n v="9"/>
    <n v="906.92"/>
    <n v="8162.28"/>
  </r>
  <r>
    <n v="1720"/>
    <x v="39"/>
    <x v="4"/>
    <x v="0"/>
    <x v="4"/>
    <n v="17"/>
    <n v="341.43"/>
    <n v="5804.31"/>
  </r>
  <r>
    <n v="1721"/>
    <x v="99"/>
    <x v="4"/>
    <x v="2"/>
    <x v="2"/>
    <n v="11"/>
    <n v="1476.64"/>
    <n v="16243.04"/>
  </r>
  <r>
    <n v="1722"/>
    <x v="312"/>
    <x v="1"/>
    <x v="3"/>
    <x v="2"/>
    <n v="1"/>
    <n v="622.26"/>
    <n v="622.26"/>
  </r>
  <r>
    <n v="1723"/>
    <x v="177"/>
    <x v="2"/>
    <x v="0"/>
    <x v="4"/>
    <n v="5"/>
    <n v="528.71"/>
    <n v="2643.55"/>
  </r>
  <r>
    <n v="1724"/>
    <x v="249"/>
    <x v="2"/>
    <x v="3"/>
    <x v="0"/>
    <n v="17"/>
    <n v="1142.46"/>
    <n v="19421.82"/>
  </r>
  <r>
    <n v="1725"/>
    <x v="63"/>
    <x v="1"/>
    <x v="2"/>
    <x v="2"/>
    <n v="14"/>
    <n v="1213.5"/>
    <n v="16989"/>
  </r>
  <r>
    <n v="1726"/>
    <x v="292"/>
    <x v="3"/>
    <x v="3"/>
    <x v="1"/>
    <n v="12"/>
    <n v="360.56"/>
    <n v="4326.72"/>
  </r>
  <r>
    <n v="1727"/>
    <x v="86"/>
    <x v="1"/>
    <x v="0"/>
    <x v="4"/>
    <n v="5"/>
    <n v="1491.04"/>
    <n v="7455.2"/>
  </r>
  <r>
    <n v="1728"/>
    <x v="293"/>
    <x v="2"/>
    <x v="0"/>
    <x v="2"/>
    <n v="9"/>
    <n v="724.92"/>
    <n v="6524.28"/>
  </r>
  <r>
    <n v="1729"/>
    <x v="110"/>
    <x v="0"/>
    <x v="2"/>
    <x v="0"/>
    <n v="14"/>
    <n v="574.76"/>
    <n v="8046.6399999999994"/>
  </r>
  <r>
    <n v="1730"/>
    <x v="313"/>
    <x v="2"/>
    <x v="2"/>
    <x v="1"/>
    <n v="7"/>
    <n v="209.05"/>
    <n v="1463.35"/>
  </r>
  <r>
    <n v="1731"/>
    <x v="154"/>
    <x v="4"/>
    <x v="1"/>
    <x v="2"/>
    <n v="13"/>
    <n v="1323.98"/>
    <n v="17211.740000000002"/>
  </r>
  <r>
    <n v="1732"/>
    <x v="163"/>
    <x v="1"/>
    <x v="0"/>
    <x v="0"/>
    <n v="13"/>
    <n v="891.14"/>
    <n v="11584.82"/>
  </r>
  <r>
    <n v="1733"/>
    <x v="307"/>
    <x v="2"/>
    <x v="2"/>
    <x v="2"/>
    <n v="15"/>
    <n v="933.49"/>
    <n v="14002.35"/>
  </r>
  <r>
    <n v="1734"/>
    <x v="9"/>
    <x v="0"/>
    <x v="0"/>
    <x v="3"/>
    <n v="13"/>
    <n v="754.69"/>
    <n v="9810.9700000000012"/>
  </r>
  <r>
    <n v="1735"/>
    <x v="211"/>
    <x v="3"/>
    <x v="2"/>
    <x v="0"/>
    <n v="17"/>
    <n v="62.67"/>
    <n v="1065.3900000000001"/>
  </r>
  <r>
    <n v="1736"/>
    <x v="227"/>
    <x v="0"/>
    <x v="3"/>
    <x v="0"/>
    <n v="3"/>
    <n v="1434.67"/>
    <n v="4304.01"/>
  </r>
  <r>
    <n v="1737"/>
    <x v="99"/>
    <x v="4"/>
    <x v="0"/>
    <x v="4"/>
    <n v="17"/>
    <n v="171.44"/>
    <n v="2914.48"/>
  </r>
  <r>
    <n v="1738"/>
    <x v="250"/>
    <x v="4"/>
    <x v="1"/>
    <x v="2"/>
    <n v="16"/>
    <n v="647.99"/>
    <n v="10367.84"/>
  </r>
  <r>
    <n v="1739"/>
    <x v="118"/>
    <x v="1"/>
    <x v="3"/>
    <x v="1"/>
    <n v="4"/>
    <n v="127.26"/>
    <n v="509.04"/>
  </r>
  <r>
    <n v="1740"/>
    <x v="2"/>
    <x v="2"/>
    <x v="3"/>
    <x v="3"/>
    <n v="17"/>
    <n v="1199.01"/>
    <n v="20383.169999999998"/>
  </r>
  <r>
    <n v="1741"/>
    <x v="213"/>
    <x v="3"/>
    <x v="3"/>
    <x v="2"/>
    <n v="13"/>
    <n v="1119.6400000000001"/>
    <n v="14555.32"/>
  </r>
  <r>
    <n v="1742"/>
    <x v="111"/>
    <x v="4"/>
    <x v="0"/>
    <x v="0"/>
    <n v="9"/>
    <n v="580.49"/>
    <n v="5224.41"/>
  </r>
  <r>
    <n v="1743"/>
    <x v="314"/>
    <x v="2"/>
    <x v="1"/>
    <x v="2"/>
    <n v="8"/>
    <n v="1135.57"/>
    <n v="9084.56"/>
  </r>
  <r>
    <n v="1744"/>
    <x v="178"/>
    <x v="3"/>
    <x v="1"/>
    <x v="4"/>
    <n v="14"/>
    <n v="235.42"/>
    <n v="3295.88"/>
  </r>
  <r>
    <n v="1745"/>
    <x v="67"/>
    <x v="1"/>
    <x v="0"/>
    <x v="3"/>
    <n v="7"/>
    <n v="1335.36"/>
    <n v="9347.5199999999986"/>
  </r>
  <r>
    <n v="1746"/>
    <x v="99"/>
    <x v="3"/>
    <x v="2"/>
    <x v="0"/>
    <n v="14"/>
    <n v="161.97"/>
    <n v="2267.58"/>
  </r>
  <r>
    <n v="1747"/>
    <x v="101"/>
    <x v="4"/>
    <x v="3"/>
    <x v="1"/>
    <n v="7"/>
    <n v="744.95"/>
    <n v="5214.6500000000005"/>
  </r>
  <r>
    <n v="1748"/>
    <x v="140"/>
    <x v="1"/>
    <x v="2"/>
    <x v="3"/>
    <n v="1"/>
    <n v="317.74"/>
    <n v="317.74"/>
  </r>
  <r>
    <n v="1749"/>
    <x v="157"/>
    <x v="1"/>
    <x v="3"/>
    <x v="3"/>
    <n v="9"/>
    <n v="427.68"/>
    <n v="3849.12"/>
  </r>
  <r>
    <n v="1750"/>
    <x v="315"/>
    <x v="3"/>
    <x v="3"/>
    <x v="1"/>
    <n v="12"/>
    <n v="135.5"/>
    <n v="1626"/>
  </r>
  <r>
    <n v="1751"/>
    <x v="139"/>
    <x v="3"/>
    <x v="1"/>
    <x v="2"/>
    <n v="3"/>
    <n v="95.76"/>
    <n v="287.27999999999997"/>
  </r>
  <r>
    <n v="1752"/>
    <x v="261"/>
    <x v="2"/>
    <x v="1"/>
    <x v="4"/>
    <n v="17"/>
    <n v="823.91"/>
    <n v="14006.47"/>
  </r>
  <r>
    <n v="1753"/>
    <x v="104"/>
    <x v="0"/>
    <x v="0"/>
    <x v="2"/>
    <n v="14"/>
    <n v="862.93"/>
    <n v="12081.02"/>
  </r>
  <r>
    <n v="1754"/>
    <x v="172"/>
    <x v="1"/>
    <x v="1"/>
    <x v="3"/>
    <n v="3"/>
    <n v="242.79"/>
    <n v="728.37"/>
  </r>
  <r>
    <n v="1755"/>
    <x v="236"/>
    <x v="4"/>
    <x v="2"/>
    <x v="1"/>
    <n v="19"/>
    <n v="1469.06"/>
    <n v="27912.14"/>
  </r>
  <r>
    <n v="1756"/>
    <x v="282"/>
    <x v="4"/>
    <x v="3"/>
    <x v="4"/>
    <n v="2"/>
    <n v="430.57"/>
    <n v="861.14"/>
  </r>
  <r>
    <n v="1757"/>
    <x v="95"/>
    <x v="0"/>
    <x v="3"/>
    <x v="4"/>
    <n v="7"/>
    <n v="1081.68"/>
    <n v="7571.76"/>
  </r>
  <r>
    <n v="1758"/>
    <x v="273"/>
    <x v="4"/>
    <x v="3"/>
    <x v="3"/>
    <n v="9"/>
    <n v="1201.3699999999999"/>
    <n v="10812.33"/>
  </r>
  <r>
    <n v="1759"/>
    <x v="233"/>
    <x v="0"/>
    <x v="3"/>
    <x v="2"/>
    <n v="4"/>
    <n v="1380.57"/>
    <n v="5522.28"/>
  </r>
  <r>
    <n v="1760"/>
    <x v="45"/>
    <x v="3"/>
    <x v="1"/>
    <x v="0"/>
    <n v="13"/>
    <n v="1227.45"/>
    <n v="15956.85"/>
  </r>
  <r>
    <n v="1761"/>
    <x v="76"/>
    <x v="1"/>
    <x v="1"/>
    <x v="1"/>
    <n v="16"/>
    <n v="846"/>
    <n v="13536"/>
  </r>
  <r>
    <n v="1762"/>
    <x v="276"/>
    <x v="1"/>
    <x v="0"/>
    <x v="3"/>
    <n v="14"/>
    <n v="73.069999999999993"/>
    <n v="1022.98"/>
  </r>
  <r>
    <n v="1763"/>
    <x v="142"/>
    <x v="0"/>
    <x v="0"/>
    <x v="3"/>
    <n v="5"/>
    <n v="202.04"/>
    <n v="1010.2"/>
  </r>
  <r>
    <n v="1764"/>
    <x v="85"/>
    <x v="4"/>
    <x v="3"/>
    <x v="3"/>
    <n v="5"/>
    <n v="658.85"/>
    <n v="3294.25"/>
  </r>
  <r>
    <n v="1765"/>
    <x v="249"/>
    <x v="0"/>
    <x v="1"/>
    <x v="3"/>
    <n v="19"/>
    <n v="1053.1199999999999"/>
    <n v="20009.28"/>
  </r>
  <r>
    <n v="1766"/>
    <x v="85"/>
    <x v="3"/>
    <x v="0"/>
    <x v="4"/>
    <n v="14"/>
    <n v="1374.75"/>
    <n v="19246.5"/>
  </r>
  <r>
    <n v="1767"/>
    <x v="54"/>
    <x v="4"/>
    <x v="0"/>
    <x v="1"/>
    <n v="8"/>
    <n v="1458.78"/>
    <n v="11670.24"/>
  </r>
  <r>
    <n v="1768"/>
    <x v="302"/>
    <x v="3"/>
    <x v="1"/>
    <x v="4"/>
    <n v="11"/>
    <n v="966.01"/>
    <n v="10626.11"/>
  </r>
  <r>
    <n v="1769"/>
    <x v="263"/>
    <x v="2"/>
    <x v="1"/>
    <x v="2"/>
    <n v="16"/>
    <n v="192.48"/>
    <n v="3079.68"/>
  </r>
  <r>
    <n v="1770"/>
    <x v="62"/>
    <x v="2"/>
    <x v="1"/>
    <x v="4"/>
    <n v="16"/>
    <n v="1269.93"/>
    <n v="20318.88"/>
  </r>
  <r>
    <n v="1771"/>
    <x v="190"/>
    <x v="1"/>
    <x v="3"/>
    <x v="4"/>
    <n v="6"/>
    <n v="1486.21"/>
    <n v="8917.26"/>
  </r>
  <r>
    <n v="1772"/>
    <x v="167"/>
    <x v="0"/>
    <x v="0"/>
    <x v="1"/>
    <n v="18"/>
    <n v="187.6"/>
    <n v="3376.8"/>
  </r>
  <r>
    <n v="1773"/>
    <x v="12"/>
    <x v="4"/>
    <x v="2"/>
    <x v="4"/>
    <n v="9"/>
    <n v="1491.04"/>
    <n v="13419.36"/>
  </r>
  <r>
    <n v="1774"/>
    <x v="121"/>
    <x v="4"/>
    <x v="1"/>
    <x v="4"/>
    <n v="13"/>
    <n v="298.55"/>
    <n v="3881.15"/>
  </r>
  <r>
    <n v="1775"/>
    <x v="287"/>
    <x v="3"/>
    <x v="0"/>
    <x v="2"/>
    <n v="8"/>
    <n v="1024.48"/>
    <n v="8195.84"/>
  </r>
  <r>
    <n v="1776"/>
    <x v="85"/>
    <x v="0"/>
    <x v="0"/>
    <x v="1"/>
    <n v="17"/>
    <n v="443.31"/>
    <n v="7536.27"/>
  </r>
  <r>
    <n v="1777"/>
    <x v="52"/>
    <x v="2"/>
    <x v="3"/>
    <x v="0"/>
    <n v="8"/>
    <n v="1404.68"/>
    <n v="11237.44"/>
  </r>
  <r>
    <n v="1778"/>
    <x v="65"/>
    <x v="3"/>
    <x v="1"/>
    <x v="1"/>
    <n v="16"/>
    <n v="703.45"/>
    <n v="11255.2"/>
  </r>
  <r>
    <n v="1779"/>
    <x v="149"/>
    <x v="1"/>
    <x v="3"/>
    <x v="3"/>
    <n v="1"/>
    <n v="507.84"/>
    <n v="507.84"/>
  </r>
  <r>
    <n v="1780"/>
    <x v="122"/>
    <x v="2"/>
    <x v="1"/>
    <x v="0"/>
    <n v="17"/>
    <n v="983.67"/>
    <n v="16722.39"/>
  </r>
  <r>
    <n v="1781"/>
    <x v="1"/>
    <x v="0"/>
    <x v="1"/>
    <x v="3"/>
    <n v="2"/>
    <n v="387.9"/>
    <n v="775.8"/>
  </r>
  <r>
    <n v="1782"/>
    <x v="99"/>
    <x v="0"/>
    <x v="3"/>
    <x v="4"/>
    <n v="15"/>
    <n v="351.07"/>
    <n v="5266.05"/>
  </r>
  <r>
    <n v="1783"/>
    <x v="84"/>
    <x v="2"/>
    <x v="2"/>
    <x v="0"/>
    <n v="9"/>
    <n v="70.19"/>
    <n v="631.71"/>
  </r>
  <r>
    <n v="1784"/>
    <x v="41"/>
    <x v="4"/>
    <x v="0"/>
    <x v="1"/>
    <n v="9"/>
    <n v="1242.24"/>
    <n v="11180.16"/>
  </r>
  <r>
    <n v="1785"/>
    <x v="18"/>
    <x v="4"/>
    <x v="3"/>
    <x v="1"/>
    <n v="8"/>
    <n v="1038.51"/>
    <n v="8308.08"/>
  </r>
  <r>
    <n v="1786"/>
    <x v="153"/>
    <x v="2"/>
    <x v="0"/>
    <x v="4"/>
    <n v="3"/>
    <n v="1100.47"/>
    <n v="3301.41"/>
  </r>
  <r>
    <n v="1787"/>
    <x v="102"/>
    <x v="2"/>
    <x v="1"/>
    <x v="0"/>
    <n v="1"/>
    <n v="97.94"/>
    <n v="97.94"/>
  </r>
  <r>
    <n v="1788"/>
    <x v="270"/>
    <x v="4"/>
    <x v="2"/>
    <x v="0"/>
    <n v="10"/>
    <n v="1299.67"/>
    <n v="12996.7"/>
  </r>
  <r>
    <n v="1789"/>
    <x v="161"/>
    <x v="4"/>
    <x v="3"/>
    <x v="2"/>
    <n v="9"/>
    <n v="749.98"/>
    <n v="6749.82"/>
  </r>
  <r>
    <n v="1790"/>
    <x v="24"/>
    <x v="1"/>
    <x v="1"/>
    <x v="0"/>
    <n v="13"/>
    <n v="405.33"/>
    <n v="5269.29"/>
  </r>
  <r>
    <n v="1791"/>
    <x v="238"/>
    <x v="4"/>
    <x v="0"/>
    <x v="1"/>
    <n v="9"/>
    <n v="972.62"/>
    <n v="8753.58"/>
  </r>
  <r>
    <n v="1792"/>
    <x v="312"/>
    <x v="1"/>
    <x v="3"/>
    <x v="1"/>
    <n v="5"/>
    <n v="842.8"/>
    <n v="4214"/>
  </r>
  <r>
    <n v="1793"/>
    <x v="82"/>
    <x v="3"/>
    <x v="2"/>
    <x v="4"/>
    <n v="17"/>
    <n v="374.65"/>
    <n v="6369.0499999999993"/>
  </r>
  <r>
    <n v="1794"/>
    <x v="36"/>
    <x v="4"/>
    <x v="3"/>
    <x v="0"/>
    <n v="3"/>
    <n v="1426.75"/>
    <n v="4280.25"/>
  </r>
  <r>
    <n v="1795"/>
    <x v="99"/>
    <x v="3"/>
    <x v="0"/>
    <x v="2"/>
    <n v="13"/>
    <n v="420.98"/>
    <n v="5472.74"/>
  </r>
  <r>
    <n v="1796"/>
    <x v="316"/>
    <x v="0"/>
    <x v="0"/>
    <x v="2"/>
    <n v="3"/>
    <n v="818.18"/>
    <n v="2454.54"/>
  </r>
  <r>
    <n v="1797"/>
    <x v="65"/>
    <x v="1"/>
    <x v="2"/>
    <x v="1"/>
    <n v="18"/>
    <n v="982"/>
    <n v="17676"/>
  </r>
  <r>
    <n v="1798"/>
    <x v="155"/>
    <x v="0"/>
    <x v="1"/>
    <x v="0"/>
    <n v="14"/>
    <n v="803.94"/>
    <n v="11255.16"/>
  </r>
  <r>
    <n v="1799"/>
    <x v="230"/>
    <x v="1"/>
    <x v="0"/>
    <x v="2"/>
    <n v="16"/>
    <n v="441.12"/>
    <n v="7057.92"/>
  </r>
  <r>
    <n v="1800"/>
    <x v="24"/>
    <x v="1"/>
    <x v="2"/>
    <x v="4"/>
    <n v="10"/>
    <n v="1344.51"/>
    <n v="13445.1"/>
  </r>
  <r>
    <n v="1801"/>
    <x v="150"/>
    <x v="3"/>
    <x v="1"/>
    <x v="3"/>
    <n v="2"/>
    <n v="981.27"/>
    <n v="1962.54"/>
  </r>
  <r>
    <n v="1802"/>
    <x v="317"/>
    <x v="4"/>
    <x v="3"/>
    <x v="2"/>
    <n v="16"/>
    <n v="1435.94"/>
    <n v="22975.040000000001"/>
  </r>
  <r>
    <n v="1803"/>
    <x v="235"/>
    <x v="2"/>
    <x v="3"/>
    <x v="4"/>
    <n v="8"/>
    <n v="565.92999999999995"/>
    <n v="4527.4399999999996"/>
  </r>
  <r>
    <n v="1804"/>
    <x v="95"/>
    <x v="2"/>
    <x v="2"/>
    <x v="3"/>
    <n v="6"/>
    <n v="1308.17"/>
    <n v="7849.02"/>
  </r>
  <r>
    <n v="1805"/>
    <x v="304"/>
    <x v="4"/>
    <x v="2"/>
    <x v="3"/>
    <n v="1"/>
    <n v="837.32"/>
    <n v="837.32"/>
  </r>
  <r>
    <n v="1806"/>
    <x v="312"/>
    <x v="1"/>
    <x v="1"/>
    <x v="0"/>
    <n v="16"/>
    <n v="340.01"/>
    <n v="5440.16"/>
  </r>
  <r>
    <n v="1807"/>
    <x v="148"/>
    <x v="4"/>
    <x v="2"/>
    <x v="3"/>
    <n v="1"/>
    <n v="566.58000000000004"/>
    <n v="566.58000000000004"/>
  </r>
  <r>
    <n v="1808"/>
    <x v="318"/>
    <x v="1"/>
    <x v="3"/>
    <x v="1"/>
    <n v="13"/>
    <n v="1051.79"/>
    <n v="13673.27"/>
  </r>
  <r>
    <n v="1809"/>
    <x v="317"/>
    <x v="0"/>
    <x v="1"/>
    <x v="2"/>
    <n v="5"/>
    <n v="709.26"/>
    <n v="3546.3"/>
  </r>
  <r>
    <n v="1810"/>
    <x v="212"/>
    <x v="1"/>
    <x v="1"/>
    <x v="4"/>
    <n v="1"/>
    <n v="738.72"/>
    <n v="738.72"/>
  </r>
  <r>
    <n v="1811"/>
    <x v="224"/>
    <x v="3"/>
    <x v="2"/>
    <x v="1"/>
    <n v="10"/>
    <n v="1032.47"/>
    <n v="10324.700000000001"/>
  </r>
  <r>
    <n v="1812"/>
    <x v="319"/>
    <x v="4"/>
    <x v="2"/>
    <x v="2"/>
    <n v="9"/>
    <n v="585.92999999999995"/>
    <n v="5273.37"/>
  </r>
  <r>
    <n v="1813"/>
    <x v="176"/>
    <x v="4"/>
    <x v="1"/>
    <x v="2"/>
    <n v="7"/>
    <n v="1399.59"/>
    <n v="9797.1299999999992"/>
  </r>
  <r>
    <n v="1814"/>
    <x v="177"/>
    <x v="0"/>
    <x v="2"/>
    <x v="1"/>
    <n v="1"/>
    <n v="1053.9000000000001"/>
    <n v="1053.9000000000001"/>
  </r>
  <r>
    <n v="1815"/>
    <x v="159"/>
    <x v="1"/>
    <x v="2"/>
    <x v="4"/>
    <n v="4"/>
    <n v="1281.8"/>
    <n v="5127.2"/>
  </r>
  <r>
    <n v="1816"/>
    <x v="320"/>
    <x v="4"/>
    <x v="0"/>
    <x v="2"/>
    <n v="9"/>
    <n v="1289.32"/>
    <n v="11603.88"/>
  </r>
  <r>
    <n v="1817"/>
    <x v="195"/>
    <x v="4"/>
    <x v="2"/>
    <x v="4"/>
    <n v="15"/>
    <n v="1371.72"/>
    <n v="20575.8"/>
  </r>
  <r>
    <n v="1818"/>
    <x v="88"/>
    <x v="1"/>
    <x v="3"/>
    <x v="4"/>
    <n v="5"/>
    <n v="683.19"/>
    <n v="3415.95"/>
  </r>
  <r>
    <n v="1819"/>
    <x v="65"/>
    <x v="3"/>
    <x v="2"/>
    <x v="3"/>
    <n v="14"/>
    <n v="1359.71"/>
    <n v="19035.939999999999"/>
  </r>
  <r>
    <n v="1820"/>
    <x v="4"/>
    <x v="3"/>
    <x v="0"/>
    <x v="4"/>
    <n v="10"/>
    <n v="701.02"/>
    <n v="7010.2"/>
  </r>
  <r>
    <n v="1821"/>
    <x v="316"/>
    <x v="4"/>
    <x v="0"/>
    <x v="4"/>
    <n v="18"/>
    <n v="758.76"/>
    <n v="13657.68"/>
  </r>
  <r>
    <n v="1822"/>
    <x v="291"/>
    <x v="0"/>
    <x v="1"/>
    <x v="0"/>
    <n v="13"/>
    <n v="1297.77"/>
    <n v="16871.009999999998"/>
  </r>
  <r>
    <n v="1823"/>
    <x v="321"/>
    <x v="0"/>
    <x v="2"/>
    <x v="3"/>
    <n v="19"/>
    <n v="1142.6600000000001"/>
    <n v="21710.54"/>
  </r>
  <r>
    <n v="1824"/>
    <x v="101"/>
    <x v="1"/>
    <x v="2"/>
    <x v="1"/>
    <n v="11"/>
    <n v="730.92"/>
    <n v="8040.12"/>
  </r>
  <r>
    <n v="1825"/>
    <x v="77"/>
    <x v="2"/>
    <x v="3"/>
    <x v="2"/>
    <n v="10"/>
    <n v="1079.2"/>
    <n v="10792"/>
  </r>
  <r>
    <n v="1826"/>
    <x v="196"/>
    <x v="1"/>
    <x v="2"/>
    <x v="0"/>
    <n v="7"/>
    <n v="1440.59"/>
    <n v="10084.129999999999"/>
  </r>
  <r>
    <n v="1827"/>
    <x v="65"/>
    <x v="2"/>
    <x v="3"/>
    <x v="2"/>
    <n v="4"/>
    <n v="599.51"/>
    <n v="2398.04"/>
  </r>
  <r>
    <n v="1828"/>
    <x v="153"/>
    <x v="4"/>
    <x v="2"/>
    <x v="2"/>
    <n v="17"/>
    <n v="1478.2"/>
    <n v="25129.4"/>
  </r>
  <r>
    <n v="1829"/>
    <x v="41"/>
    <x v="0"/>
    <x v="1"/>
    <x v="1"/>
    <n v="2"/>
    <n v="1278.31"/>
    <n v="2556.62"/>
  </r>
  <r>
    <n v="1830"/>
    <x v="175"/>
    <x v="4"/>
    <x v="3"/>
    <x v="4"/>
    <n v="11"/>
    <n v="1384.47"/>
    <n v="15229.17"/>
  </r>
  <r>
    <n v="1831"/>
    <x v="112"/>
    <x v="0"/>
    <x v="2"/>
    <x v="4"/>
    <n v="17"/>
    <n v="92.75"/>
    <n v="1576.75"/>
  </r>
  <r>
    <n v="1832"/>
    <x v="236"/>
    <x v="2"/>
    <x v="2"/>
    <x v="4"/>
    <n v="6"/>
    <n v="913.73"/>
    <n v="5482.38"/>
  </r>
  <r>
    <n v="1833"/>
    <x v="64"/>
    <x v="4"/>
    <x v="3"/>
    <x v="4"/>
    <n v="2"/>
    <n v="486.16"/>
    <n v="972.32"/>
  </r>
  <r>
    <n v="1834"/>
    <x v="322"/>
    <x v="2"/>
    <x v="2"/>
    <x v="1"/>
    <n v="1"/>
    <n v="117.86"/>
    <n v="117.86"/>
  </r>
  <r>
    <n v="1835"/>
    <x v="124"/>
    <x v="1"/>
    <x v="1"/>
    <x v="0"/>
    <n v="17"/>
    <n v="1082.93"/>
    <n v="18409.810000000001"/>
  </r>
  <r>
    <n v="1836"/>
    <x v="323"/>
    <x v="1"/>
    <x v="0"/>
    <x v="4"/>
    <n v="7"/>
    <n v="984.95"/>
    <n v="6894.6500000000005"/>
  </r>
  <r>
    <n v="1837"/>
    <x v="33"/>
    <x v="4"/>
    <x v="0"/>
    <x v="4"/>
    <n v="3"/>
    <n v="141.54"/>
    <n v="424.62"/>
  </r>
  <r>
    <n v="1838"/>
    <x v="282"/>
    <x v="3"/>
    <x v="2"/>
    <x v="2"/>
    <n v="15"/>
    <n v="792.44"/>
    <n v="11886.6"/>
  </r>
  <r>
    <n v="1839"/>
    <x v="282"/>
    <x v="1"/>
    <x v="1"/>
    <x v="3"/>
    <n v="11"/>
    <n v="695.49"/>
    <n v="7650.39"/>
  </r>
  <r>
    <n v="1840"/>
    <x v="46"/>
    <x v="0"/>
    <x v="3"/>
    <x v="2"/>
    <n v="8"/>
    <n v="355.18"/>
    <n v="2841.44"/>
  </r>
  <r>
    <n v="1841"/>
    <x v="324"/>
    <x v="1"/>
    <x v="1"/>
    <x v="3"/>
    <n v="3"/>
    <n v="527.88"/>
    <n v="1583.64"/>
  </r>
  <r>
    <n v="1842"/>
    <x v="247"/>
    <x v="0"/>
    <x v="2"/>
    <x v="0"/>
    <n v="2"/>
    <n v="1260.72"/>
    <n v="2521.44"/>
  </r>
  <r>
    <n v="1843"/>
    <x v="114"/>
    <x v="0"/>
    <x v="2"/>
    <x v="1"/>
    <n v="13"/>
    <n v="264.31"/>
    <n v="3436.03"/>
  </r>
  <r>
    <n v="1844"/>
    <x v="78"/>
    <x v="4"/>
    <x v="0"/>
    <x v="2"/>
    <n v="19"/>
    <n v="879.18"/>
    <n v="16704.419999999998"/>
  </r>
  <r>
    <n v="1845"/>
    <x v="269"/>
    <x v="0"/>
    <x v="1"/>
    <x v="0"/>
    <n v="1"/>
    <n v="977.13"/>
    <n v="977.13"/>
  </r>
  <r>
    <n v="1846"/>
    <x v="325"/>
    <x v="3"/>
    <x v="3"/>
    <x v="1"/>
    <n v="13"/>
    <n v="707.09"/>
    <n v="9192.17"/>
  </r>
  <r>
    <n v="1847"/>
    <x v="319"/>
    <x v="2"/>
    <x v="0"/>
    <x v="2"/>
    <n v="1"/>
    <n v="404.9"/>
    <n v="404.9"/>
  </r>
  <r>
    <n v="1848"/>
    <x v="199"/>
    <x v="3"/>
    <x v="0"/>
    <x v="4"/>
    <n v="11"/>
    <n v="1046.25"/>
    <n v="11508.75"/>
  </r>
  <r>
    <n v="1849"/>
    <x v="223"/>
    <x v="2"/>
    <x v="2"/>
    <x v="2"/>
    <n v="11"/>
    <n v="960.42"/>
    <n v="10564.62"/>
  </r>
  <r>
    <n v="1850"/>
    <x v="282"/>
    <x v="4"/>
    <x v="3"/>
    <x v="2"/>
    <n v="3"/>
    <n v="782.79"/>
    <n v="2348.37"/>
  </r>
  <r>
    <n v="1851"/>
    <x v="243"/>
    <x v="0"/>
    <x v="1"/>
    <x v="1"/>
    <n v="11"/>
    <n v="836"/>
    <n v="9196"/>
  </r>
  <r>
    <n v="1852"/>
    <x v="60"/>
    <x v="4"/>
    <x v="1"/>
    <x v="3"/>
    <n v="1"/>
    <n v="606.12"/>
    <n v="606.12"/>
  </r>
  <r>
    <n v="1853"/>
    <x v="132"/>
    <x v="1"/>
    <x v="1"/>
    <x v="1"/>
    <n v="15"/>
    <n v="264.86"/>
    <n v="3972.9"/>
  </r>
  <r>
    <n v="1854"/>
    <x v="326"/>
    <x v="4"/>
    <x v="1"/>
    <x v="0"/>
    <n v="11"/>
    <n v="804"/>
    <n v="8844"/>
  </r>
  <r>
    <n v="1855"/>
    <x v="271"/>
    <x v="3"/>
    <x v="1"/>
    <x v="4"/>
    <n v="18"/>
    <n v="507.5"/>
    <n v="9135"/>
  </r>
  <r>
    <n v="1856"/>
    <x v="310"/>
    <x v="2"/>
    <x v="3"/>
    <x v="0"/>
    <n v="2"/>
    <n v="1049.6600000000001"/>
    <n v="2099.3200000000002"/>
  </r>
  <r>
    <n v="1857"/>
    <x v="203"/>
    <x v="2"/>
    <x v="1"/>
    <x v="3"/>
    <n v="4"/>
    <n v="667.92"/>
    <n v="2671.68"/>
  </r>
  <r>
    <n v="1858"/>
    <x v="102"/>
    <x v="2"/>
    <x v="1"/>
    <x v="2"/>
    <n v="7"/>
    <n v="253.92"/>
    <n v="1777.44"/>
  </r>
  <r>
    <n v="1859"/>
    <x v="146"/>
    <x v="4"/>
    <x v="2"/>
    <x v="0"/>
    <n v="19"/>
    <n v="480.02"/>
    <n v="9120.3799999999992"/>
  </r>
  <r>
    <n v="1860"/>
    <x v="208"/>
    <x v="4"/>
    <x v="0"/>
    <x v="1"/>
    <n v="12"/>
    <n v="1469.27"/>
    <n v="17631.240000000002"/>
  </r>
  <r>
    <n v="1861"/>
    <x v="155"/>
    <x v="0"/>
    <x v="1"/>
    <x v="4"/>
    <n v="14"/>
    <n v="141.12"/>
    <n v="1975.68"/>
  </r>
  <r>
    <n v="1862"/>
    <x v="41"/>
    <x v="0"/>
    <x v="2"/>
    <x v="4"/>
    <n v="1"/>
    <n v="1358.11"/>
    <n v="1358.11"/>
  </r>
  <r>
    <n v="1863"/>
    <x v="120"/>
    <x v="1"/>
    <x v="0"/>
    <x v="4"/>
    <n v="18"/>
    <n v="1340.22"/>
    <n v="24123.96"/>
  </r>
  <r>
    <n v="1864"/>
    <x v="327"/>
    <x v="4"/>
    <x v="2"/>
    <x v="1"/>
    <n v="14"/>
    <n v="1429.28"/>
    <n v="20009.919999999998"/>
  </r>
  <r>
    <n v="1865"/>
    <x v="290"/>
    <x v="0"/>
    <x v="1"/>
    <x v="0"/>
    <n v="8"/>
    <n v="990.04"/>
    <n v="7920.32"/>
  </r>
  <r>
    <n v="1866"/>
    <x v="315"/>
    <x v="2"/>
    <x v="1"/>
    <x v="4"/>
    <n v="11"/>
    <n v="790.39"/>
    <n v="8694.2899999999991"/>
  </r>
  <r>
    <n v="1867"/>
    <x v="328"/>
    <x v="1"/>
    <x v="2"/>
    <x v="4"/>
    <n v="3"/>
    <n v="506.47"/>
    <n v="1519.41"/>
  </r>
  <r>
    <n v="1868"/>
    <x v="217"/>
    <x v="2"/>
    <x v="2"/>
    <x v="1"/>
    <n v="10"/>
    <n v="795.42"/>
    <n v="7954.2"/>
  </r>
  <r>
    <n v="1869"/>
    <x v="173"/>
    <x v="2"/>
    <x v="1"/>
    <x v="3"/>
    <n v="16"/>
    <n v="102.32"/>
    <n v="1637.12"/>
  </r>
  <r>
    <n v="1870"/>
    <x v="329"/>
    <x v="3"/>
    <x v="2"/>
    <x v="3"/>
    <n v="16"/>
    <n v="792.58"/>
    <n v="12681.28"/>
  </r>
  <r>
    <n v="1871"/>
    <x v="270"/>
    <x v="4"/>
    <x v="0"/>
    <x v="0"/>
    <n v="6"/>
    <n v="1198.1400000000001"/>
    <n v="7188.84"/>
  </r>
  <r>
    <n v="1872"/>
    <x v="153"/>
    <x v="4"/>
    <x v="0"/>
    <x v="1"/>
    <n v="14"/>
    <n v="130.83000000000001"/>
    <n v="1831.62"/>
  </r>
  <r>
    <n v="1873"/>
    <x v="102"/>
    <x v="0"/>
    <x v="0"/>
    <x v="3"/>
    <n v="9"/>
    <n v="348.1"/>
    <n v="3132.9"/>
  </r>
  <r>
    <n v="1874"/>
    <x v="231"/>
    <x v="2"/>
    <x v="3"/>
    <x v="2"/>
    <n v="2"/>
    <n v="87.25"/>
    <n v="174.5"/>
  </r>
  <r>
    <n v="1875"/>
    <x v="215"/>
    <x v="1"/>
    <x v="3"/>
    <x v="1"/>
    <n v="10"/>
    <n v="1367.44"/>
    <n v="13674.4"/>
  </r>
  <r>
    <n v="1876"/>
    <x v="199"/>
    <x v="4"/>
    <x v="1"/>
    <x v="2"/>
    <n v="8"/>
    <n v="1447.3"/>
    <n v="11578.4"/>
  </r>
  <r>
    <n v="1877"/>
    <x v="301"/>
    <x v="3"/>
    <x v="1"/>
    <x v="4"/>
    <n v="14"/>
    <n v="121.14"/>
    <n v="1695.96"/>
  </r>
  <r>
    <n v="1878"/>
    <x v="239"/>
    <x v="2"/>
    <x v="0"/>
    <x v="0"/>
    <n v="11"/>
    <n v="679.69"/>
    <n v="7476.59"/>
  </r>
  <r>
    <n v="1879"/>
    <x v="146"/>
    <x v="1"/>
    <x v="3"/>
    <x v="4"/>
    <n v="19"/>
    <n v="831.27"/>
    <n v="15794.13"/>
  </r>
  <r>
    <n v="1880"/>
    <x v="82"/>
    <x v="3"/>
    <x v="0"/>
    <x v="2"/>
    <n v="12"/>
    <n v="560.89"/>
    <n v="6730.68"/>
  </r>
  <r>
    <n v="1881"/>
    <x v="142"/>
    <x v="0"/>
    <x v="2"/>
    <x v="4"/>
    <n v="14"/>
    <n v="1365.95"/>
    <n v="19123.3"/>
  </r>
  <r>
    <n v="1882"/>
    <x v="330"/>
    <x v="3"/>
    <x v="1"/>
    <x v="0"/>
    <n v="2"/>
    <n v="469.23"/>
    <n v="938.46"/>
  </r>
  <r>
    <n v="1883"/>
    <x v="272"/>
    <x v="2"/>
    <x v="0"/>
    <x v="2"/>
    <n v="5"/>
    <n v="725.15"/>
    <n v="3625.75"/>
  </r>
  <r>
    <n v="1884"/>
    <x v="331"/>
    <x v="0"/>
    <x v="3"/>
    <x v="4"/>
    <n v="7"/>
    <n v="695.25"/>
    <n v="4866.75"/>
  </r>
  <r>
    <n v="1885"/>
    <x v="187"/>
    <x v="0"/>
    <x v="2"/>
    <x v="1"/>
    <n v="18"/>
    <n v="1055.92"/>
    <n v="19006.560000000001"/>
  </r>
  <r>
    <n v="1886"/>
    <x v="326"/>
    <x v="1"/>
    <x v="0"/>
    <x v="3"/>
    <n v="14"/>
    <n v="889.98"/>
    <n v="12459.72"/>
  </r>
  <r>
    <n v="1887"/>
    <x v="332"/>
    <x v="4"/>
    <x v="0"/>
    <x v="4"/>
    <n v="17"/>
    <n v="552.30999999999995"/>
    <n v="9389.2699999999986"/>
  </r>
  <r>
    <n v="1888"/>
    <x v="169"/>
    <x v="3"/>
    <x v="1"/>
    <x v="1"/>
    <n v="16"/>
    <n v="289.73"/>
    <n v="4635.68"/>
  </r>
  <r>
    <n v="1889"/>
    <x v="224"/>
    <x v="2"/>
    <x v="1"/>
    <x v="1"/>
    <n v="2"/>
    <n v="1182.67"/>
    <n v="2365.34"/>
  </r>
  <r>
    <n v="1890"/>
    <x v="7"/>
    <x v="1"/>
    <x v="0"/>
    <x v="4"/>
    <n v="9"/>
    <n v="145.85"/>
    <n v="1312.65"/>
  </r>
  <r>
    <n v="1891"/>
    <x v="333"/>
    <x v="3"/>
    <x v="0"/>
    <x v="0"/>
    <n v="19"/>
    <n v="494.91"/>
    <n v="9403.2900000000009"/>
  </r>
  <r>
    <n v="1892"/>
    <x v="334"/>
    <x v="2"/>
    <x v="2"/>
    <x v="1"/>
    <n v="19"/>
    <n v="1420.45"/>
    <n v="26988.55"/>
  </r>
  <r>
    <n v="1893"/>
    <x v="279"/>
    <x v="4"/>
    <x v="3"/>
    <x v="4"/>
    <n v="11"/>
    <n v="691.44"/>
    <n v="7605.84"/>
  </r>
  <r>
    <n v="1894"/>
    <x v="290"/>
    <x v="1"/>
    <x v="2"/>
    <x v="0"/>
    <n v="17"/>
    <n v="995.63"/>
    <n v="16925.71"/>
  </r>
  <r>
    <n v="1895"/>
    <x v="55"/>
    <x v="1"/>
    <x v="2"/>
    <x v="1"/>
    <n v="15"/>
    <n v="427.32"/>
    <n v="6409.8"/>
  </r>
  <r>
    <n v="1896"/>
    <x v="261"/>
    <x v="3"/>
    <x v="1"/>
    <x v="0"/>
    <n v="16"/>
    <n v="51.54"/>
    <n v="824.64"/>
  </r>
  <r>
    <n v="1897"/>
    <x v="335"/>
    <x v="2"/>
    <x v="0"/>
    <x v="3"/>
    <n v="5"/>
    <n v="1056.44"/>
    <n v="5282.2000000000007"/>
  </r>
  <r>
    <n v="1898"/>
    <x v="276"/>
    <x v="3"/>
    <x v="2"/>
    <x v="1"/>
    <n v="15"/>
    <n v="613.04"/>
    <n v="9195.5999999999985"/>
  </r>
  <r>
    <n v="1899"/>
    <x v="202"/>
    <x v="3"/>
    <x v="2"/>
    <x v="1"/>
    <n v="9"/>
    <n v="517.67999999999995"/>
    <n v="4659.12"/>
  </r>
  <r>
    <n v="1900"/>
    <x v="329"/>
    <x v="1"/>
    <x v="0"/>
    <x v="0"/>
    <n v="11"/>
    <n v="897.41"/>
    <n v="9871.51"/>
  </r>
  <r>
    <n v="1901"/>
    <x v="84"/>
    <x v="3"/>
    <x v="3"/>
    <x v="1"/>
    <n v="18"/>
    <n v="1492.81"/>
    <n v="26870.58"/>
  </r>
  <r>
    <n v="1902"/>
    <x v="119"/>
    <x v="2"/>
    <x v="0"/>
    <x v="1"/>
    <n v="18"/>
    <n v="1179.92"/>
    <n v="21238.560000000001"/>
  </r>
  <r>
    <n v="1903"/>
    <x v="336"/>
    <x v="0"/>
    <x v="1"/>
    <x v="2"/>
    <n v="4"/>
    <n v="702.05"/>
    <n v="2808.2"/>
  </r>
  <r>
    <n v="1904"/>
    <x v="208"/>
    <x v="2"/>
    <x v="1"/>
    <x v="4"/>
    <n v="2"/>
    <n v="991.27"/>
    <n v="1982.54"/>
  </r>
  <r>
    <n v="1905"/>
    <x v="270"/>
    <x v="1"/>
    <x v="1"/>
    <x v="2"/>
    <n v="12"/>
    <n v="346.42"/>
    <n v="4157.04"/>
  </r>
  <r>
    <n v="1906"/>
    <x v="121"/>
    <x v="1"/>
    <x v="2"/>
    <x v="0"/>
    <n v="10"/>
    <n v="577.07000000000005"/>
    <n v="5770.7000000000007"/>
  </r>
  <r>
    <n v="1907"/>
    <x v="96"/>
    <x v="2"/>
    <x v="0"/>
    <x v="2"/>
    <n v="12"/>
    <n v="624.91999999999996"/>
    <n v="7499.0399999999991"/>
  </r>
  <r>
    <n v="1908"/>
    <x v="148"/>
    <x v="1"/>
    <x v="0"/>
    <x v="4"/>
    <n v="11"/>
    <n v="282.47000000000003"/>
    <n v="3107.17"/>
  </r>
  <r>
    <n v="1909"/>
    <x v="4"/>
    <x v="3"/>
    <x v="0"/>
    <x v="4"/>
    <n v="13"/>
    <n v="1420.63"/>
    <n v="18468.189999999999"/>
  </r>
  <r>
    <n v="1910"/>
    <x v="134"/>
    <x v="4"/>
    <x v="0"/>
    <x v="4"/>
    <n v="14"/>
    <n v="917.42"/>
    <n v="12843.88"/>
  </r>
  <r>
    <n v="1911"/>
    <x v="317"/>
    <x v="4"/>
    <x v="0"/>
    <x v="2"/>
    <n v="1"/>
    <n v="316.24"/>
    <n v="316.24"/>
  </r>
  <r>
    <n v="1912"/>
    <x v="10"/>
    <x v="2"/>
    <x v="3"/>
    <x v="4"/>
    <n v="18"/>
    <n v="643.13"/>
    <n v="11576.34"/>
  </r>
  <r>
    <n v="1913"/>
    <x v="334"/>
    <x v="0"/>
    <x v="1"/>
    <x v="0"/>
    <n v="1"/>
    <n v="1042.3800000000001"/>
    <n v="1042.3800000000001"/>
  </r>
  <r>
    <n v="1914"/>
    <x v="337"/>
    <x v="1"/>
    <x v="3"/>
    <x v="3"/>
    <n v="16"/>
    <n v="1395.52"/>
    <n v="22328.32"/>
  </r>
  <r>
    <n v="1915"/>
    <x v="331"/>
    <x v="0"/>
    <x v="1"/>
    <x v="4"/>
    <n v="19"/>
    <n v="689.5"/>
    <n v="13100.5"/>
  </r>
  <r>
    <n v="1916"/>
    <x v="116"/>
    <x v="2"/>
    <x v="2"/>
    <x v="1"/>
    <n v="7"/>
    <n v="548.97"/>
    <n v="3842.79"/>
  </r>
  <r>
    <n v="1917"/>
    <x v="163"/>
    <x v="4"/>
    <x v="1"/>
    <x v="0"/>
    <n v="8"/>
    <n v="539.66"/>
    <n v="4317.28"/>
  </r>
  <r>
    <n v="1918"/>
    <x v="290"/>
    <x v="3"/>
    <x v="3"/>
    <x v="4"/>
    <n v="19"/>
    <n v="553.09"/>
    <n v="10508.71"/>
  </r>
  <r>
    <n v="1919"/>
    <x v="252"/>
    <x v="3"/>
    <x v="2"/>
    <x v="4"/>
    <n v="15"/>
    <n v="255.97"/>
    <n v="3839.55"/>
  </r>
  <r>
    <n v="1920"/>
    <x v="158"/>
    <x v="4"/>
    <x v="1"/>
    <x v="3"/>
    <n v="1"/>
    <n v="457.44"/>
    <n v="457.44"/>
  </r>
  <r>
    <n v="1921"/>
    <x v="279"/>
    <x v="1"/>
    <x v="3"/>
    <x v="1"/>
    <n v="2"/>
    <n v="536.54"/>
    <n v="1073.08"/>
  </r>
  <r>
    <n v="1922"/>
    <x v="11"/>
    <x v="2"/>
    <x v="3"/>
    <x v="3"/>
    <n v="5"/>
    <n v="192.05"/>
    <n v="960.25"/>
  </r>
  <r>
    <n v="1923"/>
    <x v="336"/>
    <x v="1"/>
    <x v="0"/>
    <x v="4"/>
    <n v="2"/>
    <n v="935.93"/>
    <n v="1871.86"/>
  </r>
  <r>
    <n v="1924"/>
    <x v="90"/>
    <x v="0"/>
    <x v="1"/>
    <x v="1"/>
    <n v="8"/>
    <n v="644.61"/>
    <n v="5156.88"/>
  </r>
  <r>
    <n v="1925"/>
    <x v="293"/>
    <x v="3"/>
    <x v="0"/>
    <x v="0"/>
    <n v="8"/>
    <n v="942.97"/>
    <n v="7543.76"/>
  </r>
  <r>
    <n v="1926"/>
    <x v="16"/>
    <x v="2"/>
    <x v="1"/>
    <x v="0"/>
    <n v="15"/>
    <n v="709.91"/>
    <n v="10648.65"/>
  </r>
  <r>
    <n v="1927"/>
    <x v="283"/>
    <x v="2"/>
    <x v="2"/>
    <x v="3"/>
    <n v="7"/>
    <n v="544.70000000000005"/>
    <n v="3812.900000000001"/>
  </r>
  <r>
    <n v="1928"/>
    <x v="107"/>
    <x v="3"/>
    <x v="1"/>
    <x v="4"/>
    <n v="6"/>
    <n v="1412.72"/>
    <n v="8476.32"/>
  </r>
  <r>
    <n v="1929"/>
    <x v="338"/>
    <x v="1"/>
    <x v="3"/>
    <x v="1"/>
    <n v="5"/>
    <n v="457.07"/>
    <n v="2285.35"/>
  </r>
  <r>
    <n v="1930"/>
    <x v="114"/>
    <x v="3"/>
    <x v="2"/>
    <x v="0"/>
    <n v="14"/>
    <n v="694.06"/>
    <n v="9716.84"/>
  </r>
  <r>
    <n v="1931"/>
    <x v="214"/>
    <x v="1"/>
    <x v="3"/>
    <x v="0"/>
    <n v="10"/>
    <n v="580.17999999999995"/>
    <n v="5801.7999999999993"/>
  </r>
  <r>
    <n v="1932"/>
    <x v="169"/>
    <x v="1"/>
    <x v="0"/>
    <x v="3"/>
    <n v="9"/>
    <n v="943.18"/>
    <n v="8488.619999999999"/>
  </r>
  <r>
    <n v="1933"/>
    <x v="275"/>
    <x v="0"/>
    <x v="0"/>
    <x v="3"/>
    <n v="3"/>
    <n v="1471.26"/>
    <n v="4413.78"/>
  </r>
  <r>
    <n v="1934"/>
    <x v="259"/>
    <x v="0"/>
    <x v="0"/>
    <x v="2"/>
    <n v="2"/>
    <n v="740.35"/>
    <n v="1480.7"/>
  </r>
  <r>
    <n v="1935"/>
    <x v="55"/>
    <x v="0"/>
    <x v="0"/>
    <x v="0"/>
    <n v="17"/>
    <n v="1123.18"/>
    <n v="19094.060000000001"/>
  </r>
  <r>
    <n v="1936"/>
    <x v="258"/>
    <x v="1"/>
    <x v="0"/>
    <x v="4"/>
    <n v="11"/>
    <n v="1284.8499999999999"/>
    <n v="14133.35"/>
  </r>
  <r>
    <n v="1937"/>
    <x v="6"/>
    <x v="4"/>
    <x v="0"/>
    <x v="2"/>
    <n v="15"/>
    <n v="1160.49"/>
    <n v="17407.349999999999"/>
  </r>
  <r>
    <n v="1938"/>
    <x v="177"/>
    <x v="3"/>
    <x v="3"/>
    <x v="2"/>
    <n v="16"/>
    <n v="532.51"/>
    <n v="8520.16"/>
  </r>
  <r>
    <n v="1939"/>
    <x v="333"/>
    <x v="2"/>
    <x v="1"/>
    <x v="1"/>
    <n v="13"/>
    <n v="798.78"/>
    <n v="10384.14"/>
  </r>
  <r>
    <n v="1940"/>
    <x v="327"/>
    <x v="0"/>
    <x v="1"/>
    <x v="3"/>
    <n v="1"/>
    <n v="592.12"/>
    <n v="592.12"/>
  </r>
  <r>
    <n v="1941"/>
    <x v="310"/>
    <x v="4"/>
    <x v="1"/>
    <x v="4"/>
    <n v="12"/>
    <n v="1283.69"/>
    <n v="15404.28"/>
  </r>
  <r>
    <n v="1942"/>
    <x v="35"/>
    <x v="0"/>
    <x v="1"/>
    <x v="4"/>
    <n v="19"/>
    <n v="1317.94"/>
    <n v="25040.86"/>
  </r>
  <r>
    <n v="1943"/>
    <x v="50"/>
    <x v="3"/>
    <x v="2"/>
    <x v="3"/>
    <n v="8"/>
    <n v="888.65"/>
    <n v="7109.2"/>
  </r>
  <r>
    <n v="1944"/>
    <x v="127"/>
    <x v="2"/>
    <x v="0"/>
    <x v="4"/>
    <n v="6"/>
    <n v="807.85"/>
    <n v="4847.1000000000004"/>
  </r>
  <r>
    <n v="1945"/>
    <x v="246"/>
    <x v="2"/>
    <x v="2"/>
    <x v="4"/>
    <n v="11"/>
    <n v="1466.69"/>
    <n v="16133.59"/>
  </r>
  <r>
    <n v="1946"/>
    <x v="165"/>
    <x v="2"/>
    <x v="2"/>
    <x v="1"/>
    <n v="8"/>
    <n v="279.66000000000003"/>
    <n v="2237.2800000000002"/>
  </r>
  <r>
    <n v="1947"/>
    <x v="290"/>
    <x v="4"/>
    <x v="3"/>
    <x v="4"/>
    <n v="6"/>
    <n v="532.4"/>
    <n v="3194.4"/>
  </r>
  <r>
    <n v="1948"/>
    <x v="339"/>
    <x v="4"/>
    <x v="1"/>
    <x v="0"/>
    <n v="11"/>
    <n v="803.04"/>
    <n v="8833.4399999999987"/>
  </r>
  <r>
    <n v="1949"/>
    <x v="28"/>
    <x v="0"/>
    <x v="3"/>
    <x v="1"/>
    <n v="13"/>
    <n v="1026.1199999999999"/>
    <n v="13339.56"/>
  </r>
  <r>
    <n v="1950"/>
    <x v="70"/>
    <x v="3"/>
    <x v="1"/>
    <x v="0"/>
    <n v="19"/>
    <n v="426.07"/>
    <n v="8095.33"/>
  </r>
  <r>
    <n v="1951"/>
    <x v="301"/>
    <x v="3"/>
    <x v="3"/>
    <x v="4"/>
    <n v="10"/>
    <n v="1370.19"/>
    <n v="13701.9"/>
  </r>
  <r>
    <n v="1952"/>
    <x v="189"/>
    <x v="1"/>
    <x v="2"/>
    <x v="0"/>
    <n v="8"/>
    <n v="1081.1099999999999"/>
    <n v="8648.8799999999992"/>
  </r>
  <r>
    <n v="1953"/>
    <x v="62"/>
    <x v="3"/>
    <x v="1"/>
    <x v="2"/>
    <n v="19"/>
    <n v="1128.8499999999999"/>
    <n v="21448.15"/>
  </r>
  <r>
    <n v="1954"/>
    <x v="46"/>
    <x v="4"/>
    <x v="0"/>
    <x v="1"/>
    <n v="16"/>
    <n v="1418.07"/>
    <n v="22689.119999999999"/>
  </r>
  <r>
    <n v="1955"/>
    <x v="71"/>
    <x v="4"/>
    <x v="0"/>
    <x v="3"/>
    <n v="7"/>
    <n v="297.33999999999997"/>
    <n v="2081.38"/>
  </r>
  <r>
    <n v="1956"/>
    <x v="137"/>
    <x v="0"/>
    <x v="1"/>
    <x v="2"/>
    <n v="14"/>
    <n v="373.43"/>
    <n v="5228.0200000000004"/>
  </r>
  <r>
    <n v="1957"/>
    <x v="84"/>
    <x v="0"/>
    <x v="2"/>
    <x v="2"/>
    <n v="13"/>
    <n v="351.13"/>
    <n v="4564.6899999999996"/>
  </r>
  <r>
    <n v="1958"/>
    <x v="340"/>
    <x v="2"/>
    <x v="2"/>
    <x v="4"/>
    <n v="7"/>
    <n v="212.56"/>
    <n v="1487.92"/>
  </r>
  <r>
    <n v="1959"/>
    <x v="341"/>
    <x v="2"/>
    <x v="0"/>
    <x v="0"/>
    <n v="16"/>
    <n v="684.65"/>
    <n v="10954.4"/>
  </r>
  <r>
    <n v="1960"/>
    <x v="238"/>
    <x v="1"/>
    <x v="1"/>
    <x v="1"/>
    <n v="6"/>
    <n v="819.12"/>
    <n v="4914.72"/>
  </r>
  <r>
    <n v="1961"/>
    <x v="302"/>
    <x v="1"/>
    <x v="1"/>
    <x v="4"/>
    <n v="1"/>
    <n v="724.21"/>
    <n v="724.21"/>
  </r>
  <r>
    <n v="1962"/>
    <x v="20"/>
    <x v="1"/>
    <x v="3"/>
    <x v="2"/>
    <n v="9"/>
    <n v="273.64999999999998"/>
    <n v="2462.85"/>
  </r>
  <r>
    <n v="1963"/>
    <x v="87"/>
    <x v="2"/>
    <x v="2"/>
    <x v="4"/>
    <n v="6"/>
    <n v="372.25"/>
    <n v="2233.5"/>
  </r>
  <r>
    <n v="1964"/>
    <x v="102"/>
    <x v="2"/>
    <x v="0"/>
    <x v="4"/>
    <n v="14"/>
    <n v="1136.18"/>
    <n v="15906.52"/>
  </r>
  <r>
    <n v="1965"/>
    <x v="46"/>
    <x v="2"/>
    <x v="3"/>
    <x v="2"/>
    <n v="16"/>
    <n v="1217.54"/>
    <n v="19480.64"/>
  </r>
  <r>
    <n v="1966"/>
    <x v="305"/>
    <x v="4"/>
    <x v="0"/>
    <x v="2"/>
    <n v="4"/>
    <n v="997.58"/>
    <n v="3990.32"/>
  </r>
  <r>
    <n v="1967"/>
    <x v="31"/>
    <x v="1"/>
    <x v="3"/>
    <x v="1"/>
    <n v="3"/>
    <n v="612.73"/>
    <n v="1838.19"/>
  </r>
  <r>
    <n v="1968"/>
    <x v="81"/>
    <x v="3"/>
    <x v="2"/>
    <x v="2"/>
    <n v="7"/>
    <n v="114"/>
    <n v="798"/>
  </r>
  <r>
    <n v="1969"/>
    <x v="304"/>
    <x v="2"/>
    <x v="1"/>
    <x v="4"/>
    <n v="19"/>
    <n v="898.66"/>
    <n v="17074.54"/>
  </r>
  <r>
    <n v="1970"/>
    <x v="17"/>
    <x v="2"/>
    <x v="0"/>
    <x v="3"/>
    <n v="14"/>
    <n v="511.44"/>
    <n v="7160.16"/>
  </r>
  <r>
    <n v="1971"/>
    <x v="280"/>
    <x v="0"/>
    <x v="2"/>
    <x v="3"/>
    <n v="7"/>
    <n v="1157.3800000000001"/>
    <n v="8101.6600000000008"/>
  </r>
  <r>
    <n v="1972"/>
    <x v="58"/>
    <x v="1"/>
    <x v="0"/>
    <x v="1"/>
    <n v="10"/>
    <n v="1021.27"/>
    <n v="10212.700000000001"/>
  </r>
  <r>
    <n v="1973"/>
    <x v="234"/>
    <x v="2"/>
    <x v="0"/>
    <x v="4"/>
    <n v="15"/>
    <n v="636.82000000000005"/>
    <n v="9552.3000000000011"/>
  </r>
  <r>
    <n v="1974"/>
    <x v="212"/>
    <x v="3"/>
    <x v="1"/>
    <x v="2"/>
    <n v="7"/>
    <n v="567.14"/>
    <n v="3969.98"/>
  </r>
  <r>
    <n v="1975"/>
    <x v="51"/>
    <x v="0"/>
    <x v="3"/>
    <x v="1"/>
    <n v="13"/>
    <n v="520.9"/>
    <n v="6771.7"/>
  </r>
  <r>
    <n v="1976"/>
    <x v="67"/>
    <x v="0"/>
    <x v="2"/>
    <x v="3"/>
    <n v="8"/>
    <n v="428.45"/>
    <n v="3427.6"/>
  </r>
  <r>
    <n v="1977"/>
    <x v="152"/>
    <x v="3"/>
    <x v="3"/>
    <x v="0"/>
    <n v="6"/>
    <n v="864.93"/>
    <n v="5189.58"/>
  </r>
  <r>
    <n v="1978"/>
    <x v="182"/>
    <x v="3"/>
    <x v="3"/>
    <x v="4"/>
    <n v="14"/>
    <n v="449.51"/>
    <n v="6293.1399999999994"/>
  </r>
  <r>
    <n v="1979"/>
    <x v="169"/>
    <x v="1"/>
    <x v="1"/>
    <x v="4"/>
    <n v="7"/>
    <n v="332.28"/>
    <n v="2325.96"/>
  </r>
  <r>
    <n v="1980"/>
    <x v="226"/>
    <x v="0"/>
    <x v="3"/>
    <x v="3"/>
    <n v="8"/>
    <n v="1000.21"/>
    <n v="8001.68"/>
  </r>
  <r>
    <n v="1981"/>
    <x v="57"/>
    <x v="1"/>
    <x v="3"/>
    <x v="3"/>
    <n v="16"/>
    <n v="1164.6199999999999"/>
    <n v="18633.919999999998"/>
  </r>
  <r>
    <n v="1982"/>
    <x v="328"/>
    <x v="3"/>
    <x v="2"/>
    <x v="4"/>
    <n v="5"/>
    <n v="1053.27"/>
    <n v="5266.35"/>
  </r>
  <r>
    <n v="1983"/>
    <x v="314"/>
    <x v="2"/>
    <x v="2"/>
    <x v="2"/>
    <n v="7"/>
    <n v="1305.1500000000001"/>
    <n v="9136.0500000000011"/>
  </r>
  <r>
    <n v="1984"/>
    <x v="87"/>
    <x v="2"/>
    <x v="0"/>
    <x v="1"/>
    <n v="6"/>
    <n v="1348.02"/>
    <n v="8088.12"/>
  </r>
  <r>
    <n v="1985"/>
    <x v="78"/>
    <x v="3"/>
    <x v="1"/>
    <x v="0"/>
    <n v="6"/>
    <n v="560.83000000000004"/>
    <n v="3364.98"/>
  </r>
  <r>
    <n v="1986"/>
    <x v="342"/>
    <x v="0"/>
    <x v="2"/>
    <x v="4"/>
    <n v="5"/>
    <n v="536.6"/>
    <n v="2683"/>
  </r>
  <r>
    <n v="1987"/>
    <x v="72"/>
    <x v="3"/>
    <x v="0"/>
    <x v="4"/>
    <n v="4"/>
    <n v="804.43"/>
    <n v="3217.72"/>
  </r>
  <r>
    <n v="1988"/>
    <x v="132"/>
    <x v="3"/>
    <x v="0"/>
    <x v="0"/>
    <n v="16"/>
    <n v="645.03"/>
    <n v="10320.48"/>
  </r>
  <r>
    <n v="1989"/>
    <x v="259"/>
    <x v="3"/>
    <x v="1"/>
    <x v="1"/>
    <n v="14"/>
    <n v="603.46"/>
    <n v="8448.44"/>
  </r>
  <r>
    <n v="1990"/>
    <x v="52"/>
    <x v="1"/>
    <x v="2"/>
    <x v="4"/>
    <n v="15"/>
    <n v="912.08"/>
    <n v="13681.2"/>
  </r>
  <r>
    <n v="1991"/>
    <x v="334"/>
    <x v="2"/>
    <x v="1"/>
    <x v="3"/>
    <n v="1"/>
    <n v="349.32"/>
    <n v="349.32"/>
  </r>
  <r>
    <n v="1992"/>
    <x v="253"/>
    <x v="3"/>
    <x v="0"/>
    <x v="0"/>
    <n v="3"/>
    <n v="1223.28"/>
    <n v="3669.84"/>
  </r>
  <r>
    <n v="1993"/>
    <x v="269"/>
    <x v="3"/>
    <x v="0"/>
    <x v="3"/>
    <n v="19"/>
    <n v="1025.8"/>
    <n v="19490.2"/>
  </r>
  <r>
    <n v="1994"/>
    <x v="134"/>
    <x v="2"/>
    <x v="2"/>
    <x v="4"/>
    <n v="12"/>
    <n v="923.13"/>
    <n v="11077.56"/>
  </r>
  <r>
    <n v="1995"/>
    <x v="61"/>
    <x v="4"/>
    <x v="0"/>
    <x v="2"/>
    <n v="14"/>
    <n v="319.43"/>
    <n v="4472.0200000000004"/>
  </r>
  <r>
    <n v="1996"/>
    <x v="152"/>
    <x v="1"/>
    <x v="3"/>
    <x v="0"/>
    <n v="13"/>
    <n v="1459.2"/>
    <n v="18969.599999999999"/>
  </r>
  <r>
    <n v="1997"/>
    <x v="19"/>
    <x v="4"/>
    <x v="1"/>
    <x v="1"/>
    <n v="17"/>
    <n v="727.15"/>
    <n v="12361.55"/>
  </r>
  <r>
    <n v="1998"/>
    <x v="162"/>
    <x v="2"/>
    <x v="0"/>
    <x v="3"/>
    <n v="19"/>
    <n v="168.25"/>
    <n v="3196.75"/>
  </r>
  <r>
    <n v="1999"/>
    <x v="189"/>
    <x v="3"/>
    <x v="2"/>
    <x v="3"/>
    <n v="2"/>
    <n v="1113.22"/>
    <n v="2226.44"/>
  </r>
  <r>
    <n v="2000"/>
    <x v="297"/>
    <x v="1"/>
    <x v="1"/>
    <x v="2"/>
    <n v="9"/>
    <n v="1102.44"/>
    <n v="9921.9600000000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7BD93-082B-4053-9CA5-6F77C4DCECF3}" name="Average_Sale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T3:T4" firstHeaderRow="1" firstDataRow="1" firstDataCol="0"/>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0"/>
        <item x="4"/>
        <item x="1"/>
        <item x="3"/>
        <item x="2"/>
        <item t="default"/>
      </items>
    </pivotField>
    <pivotField showAll="0">
      <items count="5">
        <item x="0"/>
        <item x="1"/>
        <item x="3"/>
        <item x="2"/>
        <item t="default"/>
      </items>
    </pivotField>
    <pivotField showAll="0">
      <items count="6">
        <item x="2"/>
        <item x="1"/>
        <item x="0"/>
        <item x="3"/>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_Sales" fld="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70FBE4-2FB0-4E80-8625-16FE8C9B9916}" name="Total_Unit_Sold"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R3:R4" firstHeaderRow="1" firstDataRow="1" firstDataCol="0"/>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0"/>
        <item x="4"/>
        <item x="1"/>
        <item x="3"/>
        <item x="2"/>
        <item t="default"/>
      </items>
    </pivotField>
    <pivotField showAll="0">
      <items count="5">
        <item x="0"/>
        <item x="1"/>
        <item x="3"/>
        <item x="2"/>
        <item t="default"/>
      </items>
    </pivotField>
    <pivotField showAll="0">
      <items count="6">
        <item x="2"/>
        <item x="1"/>
        <item x="0"/>
        <item x="3"/>
        <item x="4"/>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Units_Sold" fld="5"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13BD24-88C1-4BFD-AD3C-8A483C032F3D}" name="Monthly_Sale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3:B46" firstHeaderRow="1" firstDataRow="1" firstDataCol="1"/>
  <pivotFields count="9">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0"/>
        <item x="4"/>
        <item x="1"/>
        <item x="3"/>
        <item x="2"/>
        <item t="default"/>
      </items>
    </pivotField>
    <pivotField showAll="0">
      <items count="5">
        <item x="0"/>
        <item x="1"/>
        <item x="3"/>
        <item x="2"/>
        <item t="default"/>
      </items>
    </pivotField>
    <pivotField showAll="0">
      <items count="6">
        <item x="2"/>
        <item x="1"/>
        <item x="0"/>
        <item x="3"/>
        <item x="4"/>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Total_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A1D130-5EA9-48F6-80DA-F0BA9CA62538}" name="Total_Sale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V3:V4" firstHeaderRow="1" firstDataRow="1" firstDataCol="0"/>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0"/>
        <item x="4"/>
        <item x="1"/>
        <item x="3"/>
        <item x="2"/>
        <item t="default"/>
      </items>
    </pivotField>
    <pivotField showAll="0">
      <items count="5">
        <item x="0"/>
        <item x="1"/>
        <item x="3"/>
        <item x="2"/>
        <item t="default"/>
      </items>
    </pivotField>
    <pivotField showAll="0">
      <items count="6">
        <item x="2"/>
        <item x="1"/>
        <item x="0"/>
        <item x="3"/>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_Sales" fld="7"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09ED64-FDAF-45FD-B8E9-97E8A4BAB50F}" name="Sales_by_Salesperson"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M33:N39"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0"/>
        <item x="4"/>
        <item x="1"/>
        <item x="3"/>
        <item x="2"/>
        <item t="default"/>
      </items>
    </pivotField>
    <pivotField showAll="0">
      <items count="5">
        <item x="0"/>
        <item x="1"/>
        <item x="3"/>
        <item x="2"/>
        <item t="default"/>
      </items>
    </pivotField>
    <pivotField axis="axisRow" showAll="0">
      <items count="6">
        <item x="2"/>
        <item x="1"/>
        <item x="0"/>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6">
    <i>
      <x/>
    </i>
    <i>
      <x v="1"/>
    </i>
    <i>
      <x v="2"/>
    </i>
    <i>
      <x v="3"/>
    </i>
    <i>
      <x v="4"/>
    </i>
    <i t="grand">
      <x/>
    </i>
  </rowItems>
  <colItems count="1">
    <i/>
  </colItems>
  <dataFields count="1">
    <dataField name="Sum of Total_Sales" fld="7"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5B4CD0-BAE8-4017-B162-C04633EEC2CA}" name="Total_Order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O3:O4" firstHeaderRow="1" firstDataRow="1" firstDataCol="0"/>
  <pivotFields count="9">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0"/>
        <item x="4"/>
        <item x="1"/>
        <item x="3"/>
        <item x="2"/>
        <item t="default"/>
      </items>
    </pivotField>
    <pivotField showAll="0">
      <items count="5">
        <item x="0"/>
        <item x="1"/>
        <item x="3"/>
        <item x="2"/>
        <item t="default"/>
      </items>
    </pivotField>
    <pivotField showAll="0">
      <items count="6">
        <item x="2"/>
        <item x="1"/>
        <item x="0"/>
        <item x="3"/>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3991209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9DDE94-87C3-4ADD-A9BC-CB3A3E72EF66}" name="Sales_by_Product"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I3:J9"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0"/>
        <item x="4"/>
        <item x="1"/>
        <item x="3"/>
        <item x="2"/>
        <item t="default"/>
      </items>
    </pivotField>
    <pivotField showAll="0">
      <items count="5">
        <item x="0"/>
        <item x="1"/>
        <item x="3"/>
        <item x="2"/>
        <item t="default"/>
      </items>
    </pivotField>
    <pivotField showAll="0">
      <items count="6">
        <item x="2"/>
        <item x="1"/>
        <item x="0"/>
        <item x="3"/>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_Sales"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4B049E-89F4-4430-840C-94648E831BB8}" name="Sales_by_Region"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B8"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0"/>
        <item x="4"/>
        <item x="1"/>
        <item x="3"/>
        <item x="2"/>
        <item t="default"/>
      </items>
    </pivotField>
    <pivotField axis="axisRow" showAll="0">
      <items count="5">
        <item x="0"/>
        <item x="1"/>
        <item x="3"/>
        <item x="2"/>
        <item t="default"/>
      </items>
    </pivotField>
    <pivotField showAll="0">
      <items count="6">
        <item x="2"/>
        <item x="1"/>
        <item x="0"/>
        <item x="3"/>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_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D2DB12-91BB-40E2-AFFB-82CE5D74BF51}" autoFormatId="16" applyNumberFormats="0" applyBorderFormats="0" applyFontFormats="0" applyPatternFormats="0" applyAlignmentFormats="0" applyWidthHeightFormats="0">
  <queryTableRefresh nextId="9">
    <queryTableFields count="8">
      <queryTableField id="1" name="Order_ID" tableColumnId="1"/>
      <queryTableField id="2" name="Date" tableColumnId="2"/>
      <queryTableField id="3" name="Product" tableColumnId="3"/>
      <queryTableField id="4" name="Region" tableColumnId="4"/>
      <queryTableField id="5" name="Sales_Rep" tableColumnId="5"/>
      <queryTableField id="6" name="Units_Sold" tableColumnId="6"/>
      <queryTableField id="7" name="Unit_Price" tableColumnId="7"/>
      <queryTableField id="8" name="Total_Sale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CDE619C-444C-467C-8ED1-7DC07A4263C0}" sourceName="Product">
  <pivotTables>
    <pivotTable tabId="3" name="Sales_by_Salesperson"/>
    <pivotTable tabId="3" name="Average_Sales"/>
    <pivotTable tabId="3" name="Monthly_Sales"/>
    <pivotTable tabId="3" name="Sales_by_Product"/>
    <pivotTable tabId="3" name="Sales_by_Region"/>
    <pivotTable tabId="3" name="Total_Orders"/>
    <pivotTable tabId="3" name="Total_Sales"/>
    <pivotTable tabId="3" name="Total_Unit_Sold"/>
  </pivotTables>
  <data>
    <tabular pivotCacheId="1778004424">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2E41DF-071C-472D-B19D-5224E2647CCD}" sourceName="Region">
  <pivotTables>
    <pivotTable tabId="3" name="Sales_by_Salesperson"/>
    <pivotTable tabId="3" name="Average_Sales"/>
    <pivotTable tabId="3" name="Monthly_Sales"/>
    <pivotTable tabId="3" name="Sales_by_Product"/>
    <pivotTable tabId="3" name="Sales_by_Region"/>
    <pivotTable tabId="3" name="Total_Orders"/>
    <pivotTable tabId="3" name="Total_Sales"/>
    <pivotTable tabId="3" name="Total_Unit_Sold"/>
  </pivotTables>
  <data>
    <tabular pivotCacheId="1778004424">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6950B900-DD76-4EB3-80BF-A8631663C363}" sourceName="Sales_Rep">
  <pivotTables>
    <pivotTable tabId="3" name="Sales_by_Salesperson"/>
    <pivotTable tabId="3" name="Average_Sales"/>
    <pivotTable tabId="3" name="Monthly_Sales"/>
    <pivotTable tabId="3" name="Sales_by_Product"/>
    <pivotTable tabId="3" name="Sales_by_Region"/>
    <pivotTable tabId="3" name="Total_Orders"/>
    <pivotTable tabId="3" name="Total_Sales"/>
    <pivotTable tabId="3" name="Total_Unit_Sold"/>
  </pivotTables>
  <data>
    <tabular pivotCacheId="1778004424">
      <items count="5">
        <i x="2"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99C10ED-5628-4071-9942-67003780F52A}" cache="Slicer_Product" caption="Product" style="SlicerStyleLight5" rowHeight="241300"/>
  <slicer name="Region" xr10:uid="{0895688B-A67A-40A1-BE3F-B982C1D99F20}" cache="Slicer_Region" caption="Region" style="SlicerStyleLight5" rowHeight="241300"/>
  <slicer name="Sales_Rep" xr10:uid="{B4DF562A-348B-44BC-99B0-B44CEB603E51}" cache="Slicer_Sales_Rep" caption="Sales_Rep"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831F75C-4C4B-4322-BAE5-A719C174B6E6}" cache="Slicer_Product" caption="Product" columnCount="2" style="SlicerStyleDark5" rowHeight="241300"/>
  <slicer name="Region 1" xr10:uid="{4DC75599-E00B-4E37-90B2-B8C0286D81E8}" cache="Slicer_Region" caption="Region" columnCount="2" style="SlicerStyleDark5" rowHeight="241300"/>
  <slicer name="Sales_Rep 1" xr10:uid="{268B563C-2299-4F8D-8C45-909BD8872A76}" cache="Slicer_Sales_Rep" caption="Sales_Rep" columnCount="2"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F562B5-62D3-4005-A888-BB8739C3A656}" name="Table1_2" displayName="Table1_2" ref="A1:H1001" tableType="queryTable" totalsRowShown="0">
  <autoFilter ref="A1:H1001" xr:uid="{96F562B5-62D3-4005-A888-BB8739C3A656}"/>
  <tableColumns count="8">
    <tableColumn id="1" xr3:uid="{04606F3F-E778-443A-B629-4E0D15521171}" uniqueName="1" name="Order_ID" queryTableFieldId="1"/>
    <tableColumn id="2" xr3:uid="{F50245A9-D51C-43B7-8E00-6865941A4852}" uniqueName="2" name="Date" queryTableFieldId="2" dataDxfId="24"/>
    <tableColumn id="3" xr3:uid="{ECC0154A-BA25-4A97-9834-67118494D258}" uniqueName="3" name="Product" queryTableFieldId="3" dataDxfId="23"/>
    <tableColumn id="4" xr3:uid="{1D5EFB2D-0A47-474C-9F92-F800B823AD8C}" uniqueName="4" name="Region" queryTableFieldId="4" dataDxfId="22"/>
    <tableColumn id="5" xr3:uid="{92E827E8-FFD9-49EF-AF1C-DBCB3F119523}" uniqueName="5" name="Sales_Rep" queryTableFieldId="5" dataDxfId="21"/>
    <tableColumn id="6" xr3:uid="{57AFF18C-11D0-4A46-BD6C-75A57D701B6B}" uniqueName="6" name="Units_Sold" queryTableFieldId="6"/>
    <tableColumn id="7" xr3:uid="{C1AE2727-2F07-40F3-BEA2-829968E9F6BB}" uniqueName="7" name="Unit_Price" queryTableFieldId="7"/>
    <tableColumn id="8" xr3:uid="{A276DF3B-23D6-4739-B917-188149792267}" uniqueName="8" name="Total_Sales"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07A319-9477-4140-996B-6A60B42AD314}" name="Table1" displayName="Table1" ref="A1:H1002" totalsRowCount="1" headerRowDxfId="20" dataDxfId="18" headerRowBorderDxfId="19" tableBorderDxfId="17" totalsRowBorderDxfId="16">
  <autoFilter ref="A1:H1001" xr:uid="{9507A319-9477-4140-996B-6A60B42AD314}"/>
  <tableColumns count="8">
    <tableColumn id="1" xr3:uid="{F7485D5E-FEDE-4F79-A961-1002762A4873}" name="Order_ID" dataDxfId="15" totalsRowDxfId="14"/>
    <tableColumn id="2" xr3:uid="{AA081F0D-8908-4A51-B6CD-E1A7BC476644}" name="Date" dataDxfId="13" totalsRowDxfId="12"/>
    <tableColumn id="3" xr3:uid="{D6A39E98-B8C0-4A41-AFE4-7EE84F1AC24E}" name="Product" dataDxfId="11" totalsRowDxfId="10"/>
    <tableColumn id="4" xr3:uid="{D09EC5DF-2BF0-4DE5-B763-F854156BFFE9}" name="Region" dataDxfId="9" totalsRowDxfId="8"/>
    <tableColumn id="5" xr3:uid="{EAE571A9-FFA7-4D92-ADA2-4494A4A50F99}" name="Sales_Rep" dataDxfId="7" totalsRowDxfId="6"/>
    <tableColumn id="6" xr3:uid="{BE881790-256E-4AB8-A319-C4D7240BE843}" name="Units_Sold" dataDxfId="5" totalsRowDxfId="4"/>
    <tableColumn id="7" xr3:uid="{D7B02A7D-A9D5-40CF-9C62-593555388CBD}" name="Unit_Price" dataDxfId="3" totalsRowDxfId="2"/>
    <tableColumn id="8" xr3:uid="{A8A92147-1AC7-402B-9142-99935E8680FD}" name="Total_Sales" totalsRowFunction="sum" dataDxfId="1" totalsRow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4405741-BE90-4594-B1D2-E6B203EA0CBB}" sourceName="Date">
  <pivotTables>
    <pivotTable tabId="3" name="Monthly_Sales"/>
    <pivotTable tabId="3" name="Average_Sales"/>
    <pivotTable tabId="3" name="Sales_by_Product"/>
    <pivotTable tabId="3" name="Sales_by_Region"/>
    <pivotTable tabId="3" name="Sales_by_Salesperson"/>
    <pivotTable tabId="3" name="Total_Orders"/>
    <pivotTable tabId="3" name="Total_Sales"/>
    <pivotTable tabId="3" name="Total_Unit_Sold"/>
  </pivotTables>
  <state minimalRefreshVersion="6" lastRefreshVersion="6" pivotCacheId="177800442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BAC5A4C-0683-465C-9E70-00B8CDB32CB6}" cache="NativeTimeline_Date" caption="Date" level="2" selectionLevel="2" scrollPosition="2024-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AB8D86F-3B2F-4F36-9A3D-A87538E50A24}" cache="NativeTimeline_Date" caption="Date" showSelectionLabel="0" level="2" selectionLevel="2" scrollPosition="2024-07-27T00:00:00" style="TimeSlicerStyleDark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382B0-FB91-4783-B379-2DA97CA42468}">
  <dimension ref="A3:V46"/>
  <sheetViews>
    <sheetView topLeftCell="G1" zoomScale="80" zoomScaleNormal="80" workbookViewId="0">
      <selection activeCell="K30" sqref="K30"/>
    </sheetView>
  </sheetViews>
  <sheetFormatPr defaultRowHeight="15" x14ac:dyDescent="0.25"/>
  <cols>
    <col min="1" max="1" width="14.140625" bestFit="1" customWidth="1"/>
    <col min="2" max="2" width="18.42578125" bestFit="1" customWidth="1"/>
    <col min="9" max="9" width="14.140625" bestFit="1" customWidth="1"/>
    <col min="10" max="10" width="18.42578125" bestFit="1" customWidth="1"/>
    <col min="13" max="13" width="14.140625" bestFit="1" customWidth="1"/>
    <col min="14" max="14" width="18.42578125" bestFit="1" customWidth="1"/>
    <col min="15" max="15" width="17.28515625" bestFit="1" customWidth="1"/>
    <col min="18" max="18" width="17.7109375" bestFit="1" customWidth="1"/>
    <col min="20" max="20" width="22" bestFit="1" customWidth="1"/>
    <col min="22" max="22" width="18.42578125" bestFit="1" customWidth="1"/>
    <col min="23" max="23" width="21.42578125" bestFit="1" customWidth="1"/>
  </cols>
  <sheetData>
    <row r="3" spans="1:22" x14ac:dyDescent="0.25">
      <c r="A3" s="14" t="s">
        <v>22</v>
      </c>
      <c r="B3" t="s">
        <v>24</v>
      </c>
      <c r="I3" s="14" t="s">
        <v>22</v>
      </c>
      <c r="J3" t="s">
        <v>24</v>
      </c>
      <c r="O3" t="s">
        <v>25</v>
      </c>
      <c r="R3" t="s">
        <v>26</v>
      </c>
      <c r="T3" t="s">
        <v>27</v>
      </c>
      <c r="V3" t="s">
        <v>24</v>
      </c>
    </row>
    <row r="4" spans="1:22" x14ac:dyDescent="0.25">
      <c r="A4" s="15" t="s">
        <v>9</v>
      </c>
      <c r="B4" s="13">
        <v>2177535.600000002</v>
      </c>
      <c r="I4" s="15" t="s">
        <v>8</v>
      </c>
      <c r="J4" s="13">
        <v>1647603.3599999999</v>
      </c>
      <c r="O4" s="13">
        <v>1000</v>
      </c>
      <c r="R4" s="13">
        <v>10229</v>
      </c>
      <c r="T4" s="13">
        <v>7928.8596799999996</v>
      </c>
      <c r="V4" s="13">
        <v>7928859.6799999997</v>
      </c>
    </row>
    <row r="5" spans="1:22" x14ac:dyDescent="0.25">
      <c r="A5" s="15" t="s">
        <v>15</v>
      </c>
      <c r="B5" s="13">
        <v>2144632.7399999974</v>
      </c>
      <c r="I5" s="15" t="s">
        <v>19</v>
      </c>
      <c r="J5" s="13">
        <v>1462686.7899999996</v>
      </c>
    </row>
    <row r="6" spans="1:22" x14ac:dyDescent="0.25">
      <c r="A6" s="15" t="s">
        <v>20</v>
      </c>
      <c r="B6" s="13">
        <v>1581271.9199999997</v>
      </c>
      <c r="I6" s="15" t="s">
        <v>11</v>
      </c>
      <c r="J6" s="13">
        <v>1739180.9699999995</v>
      </c>
      <c r="O6">
        <f>GETPIVOTDATA("Order_ID",$O$3)</f>
        <v>1000</v>
      </c>
      <c r="R6">
        <f>GETPIVOTDATA("Units_Sold",$R$3)</f>
        <v>10229</v>
      </c>
      <c r="T6" s="17">
        <f>GETPIVOTDATA("Total_Sales",$T$3)</f>
        <v>7928.8596799999996</v>
      </c>
      <c r="V6">
        <f>GETPIVOTDATA("Total_Sales",$V$3)</f>
        <v>7928859.6799999997</v>
      </c>
    </row>
    <row r="7" spans="1:22" x14ac:dyDescent="0.25">
      <c r="A7" s="15" t="s">
        <v>18</v>
      </c>
      <c r="B7" s="13">
        <v>2025419.42</v>
      </c>
      <c r="I7" s="15" t="s">
        <v>17</v>
      </c>
      <c r="J7" s="13">
        <v>1520719.69</v>
      </c>
    </row>
    <row r="8" spans="1:22" x14ac:dyDescent="0.25">
      <c r="A8" s="15" t="s">
        <v>23</v>
      </c>
      <c r="B8" s="13">
        <v>7928859.6799999997</v>
      </c>
      <c r="I8" s="15" t="s">
        <v>13</v>
      </c>
      <c r="J8" s="13">
        <v>1558668.8699999999</v>
      </c>
    </row>
    <row r="9" spans="1:22" x14ac:dyDescent="0.25">
      <c r="I9" s="15" t="s">
        <v>23</v>
      </c>
      <c r="J9" s="13">
        <v>7928859.6799999988</v>
      </c>
    </row>
    <row r="16" spans="1:22" x14ac:dyDescent="0.25">
      <c r="O16" s="16"/>
    </row>
    <row r="18" spans="11:15" x14ac:dyDescent="0.25">
      <c r="O18" t="s">
        <v>44</v>
      </c>
    </row>
    <row r="30" spans="11:15" x14ac:dyDescent="0.25">
      <c r="K30" t="s">
        <v>45</v>
      </c>
    </row>
    <row r="33" spans="1:14" x14ac:dyDescent="0.25">
      <c r="A33" s="14" t="s">
        <v>22</v>
      </c>
      <c r="B33" t="s">
        <v>24</v>
      </c>
      <c r="M33" s="14" t="s">
        <v>22</v>
      </c>
      <c r="N33" t="s">
        <v>24</v>
      </c>
    </row>
    <row r="34" spans="1:14" x14ac:dyDescent="0.25">
      <c r="A34" s="15" t="s">
        <v>28</v>
      </c>
      <c r="B34" s="13">
        <v>667667.87000000034</v>
      </c>
      <c r="M34" s="15" t="s">
        <v>14</v>
      </c>
      <c r="N34" s="13">
        <v>1675130.3799999997</v>
      </c>
    </row>
    <row r="35" spans="1:14" x14ac:dyDescent="0.25">
      <c r="A35" s="15" t="s">
        <v>29</v>
      </c>
      <c r="B35" s="13">
        <v>732850.5399999998</v>
      </c>
      <c r="M35" s="15" t="s">
        <v>12</v>
      </c>
      <c r="N35" s="13">
        <v>1662608.3300000003</v>
      </c>
    </row>
    <row r="36" spans="1:14" x14ac:dyDescent="0.25">
      <c r="A36" s="15" t="s">
        <v>30</v>
      </c>
      <c r="B36" s="13">
        <v>504826.82000000007</v>
      </c>
      <c r="M36" s="15" t="s">
        <v>10</v>
      </c>
      <c r="N36" s="13">
        <v>1475914.0299999991</v>
      </c>
    </row>
    <row r="37" spans="1:14" x14ac:dyDescent="0.25">
      <c r="A37" s="15" t="s">
        <v>31</v>
      </c>
      <c r="B37" s="13">
        <v>648497.6100000001</v>
      </c>
      <c r="M37" s="15" t="s">
        <v>16</v>
      </c>
      <c r="N37" s="13">
        <v>1297265.7299999995</v>
      </c>
    </row>
    <row r="38" spans="1:14" x14ac:dyDescent="0.25">
      <c r="A38" s="15" t="s">
        <v>32</v>
      </c>
      <c r="B38" s="13">
        <v>605592.62999999989</v>
      </c>
      <c r="M38" s="15" t="s">
        <v>21</v>
      </c>
      <c r="N38" s="13">
        <v>1817941.21</v>
      </c>
    </row>
    <row r="39" spans="1:14" x14ac:dyDescent="0.25">
      <c r="A39" s="15" t="s">
        <v>33</v>
      </c>
      <c r="B39" s="13">
        <v>774991.80999999994</v>
      </c>
      <c r="M39" s="15" t="s">
        <v>23</v>
      </c>
      <c r="N39" s="13">
        <v>7928859.6799999988</v>
      </c>
    </row>
    <row r="40" spans="1:14" x14ac:dyDescent="0.25">
      <c r="A40" s="15" t="s">
        <v>34</v>
      </c>
      <c r="B40" s="13">
        <v>843504.99999999988</v>
      </c>
    </row>
    <row r="41" spans="1:14" x14ac:dyDescent="0.25">
      <c r="A41" s="15" t="s">
        <v>35</v>
      </c>
      <c r="B41" s="13">
        <v>789715.70999999961</v>
      </c>
    </row>
    <row r="42" spans="1:14" x14ac:dyDescent="0.25">
      <c r="A42" s="15" t="s">
        <v>36</v>
      </c>
      <c r="B42" s="13">
        <v>538051.72000000009</v>
      </c>
    </row>
    <row r="43" spans="1:14" x14ac:dyDescent="0.25">
      <c r="A43" s="15" t="s">
        <v>37</v>
      </c>
      <c r="B43" s="13">
        <v>595537.37</v>
      </c>
    </row>
    <row r="44" spans="1:14" x14ac:dyDescent="0.25">
      <c r="A44" s="15" t="s">
        <v>38</v>
      </c>
      <c r="B44" s="13">
        <v>564093.85000000021</v>
      </c>
    </row>
    <row r="45" spans="1:14" x14ac:dyDescent="0.25">
      <c r="A45" s="15" t="s">
        <v>39</v>
      </c>
      <c r="B45" s="13">
        <v>663528.75000000023</v>
      </c>
    </row>
    <row r="46" spans="1:14" x14ac:dyDescent="0.25">
      <c r="A46" s="15" t="s">
        <v>23</v>
      </c>
      <c r="B46" s="13">
        <v>7928859.6800000006</v>
      </c>
    </row>
  </sheetData>
  <pageMargins left="0.7" right="0.7" top="0.75" bottom="0.75" header="0.3" footer="0.3"/>
  <drawing r:id="rId9"/>
  <extLst>
    <ext xmlns:x14="http://schemas.microsoft.com/office/spreadsheetml/2009/9/main" uri="{05C60535-1F16-4fd2-B633-F4F36F0B64E0}">
      <x14:sparklineGroups xmlns:xm="http://schemas.microsoft.com/office/excel/2006/main">
        <x14:sparklineGroup type="column" displayEmptyCellsAs="gap" xr2:uid="{53238846-334F-4B72-96CE-2BEB21541EEA}">
          <x14:colorSeries rgb="FF376092"/>
          <x14:colorNegative rgb="FFD00000"/>
          <x14:colorAxis rgb="FF000000"/>
          <x14:colorMarkers rgb="FFD00000"/>
          <x14:colorFirst rgb="FFD00000"/>
          <x14:colorLast rgb="FFD00000"/>
          <x14:colorHigh rgb="FFD00000"/>
          <x14:colorLow rgb="FFD00000"/>
          <x14:sparklines>
            <x14:sparkline>
              <xm:f>Sheet2!J4:J8</xm:f>
              <xm:sqref>V10</xm:sqref>
            </x14:sparkline>
          </x14:sparklines>
        </x14:sparklineGroup>
      </x14:sparklineGroups>
    </ex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CE10-59C8-4044-9972-3DCD25B7F7AF}">
  <dimension ref="A1:H1001"/>
  <sheetViews>
    <sheetView topLeftCell="A2" workbookViewId="0">
      <selection sqref="A1:H1001"/>
    </sheetView>
  </sheetViews>
  <sheetFormatPr defaultRowHeight="15" x14ac:dyDescent="0.25"/>
  <cols>
    <col min="1" max="1" width="11.28515625" bestFit="1" customWidth="1"/>
    <col min="2" max="2" width="10.7109375" bestFit="1" customWidth="1"/>
    <col min="3" max="3" width="12.140625" bestFit="1" customWidth="1"/>
    <col min="4" max="4" width="9.42578125" bestFit="1" customWidth="1"/>
    <col min="5" max="5" width="12.28515625" bestFit="1" customWidth="1"/>
    <col min="6" max="6" width="12.85546875" bestFit="1" customWidth="1"/>
    <col min="7" max="7" width="12.5703125" bestFit="1" customWidth="1"/>
    <col min="8" max="8" width="13.28515625" bestFit="1" customWidth="1"/>
  </cols>
  <sheetData>
    <row r="1" spans="1:8" x14ac:dyDescent="0.25">
      <c r="A1" t="s">
        <v>0</v>
      </c>
      <c r="B1" t="s">
        <v>1</v>
      </c>
      <c r="C1" t="s">
        <v>2</v>
      </c>
      <c r="D1" t="s">
        <v>3</v>
      </c>
      <c r="E1" t="s">
        <v>4</v>
      </c>
      <c r="F1" t="s">
        <v>5</v>
      </c>
      <c r="G1" t="s">
        <v>6</v>
      </c>
      <c r="H1" t="s">
        <v>7</v>
      </c>
    </row>
    <row r="2" spans="1:8" x14ac:dyDescent="0.25">
      <c r="A2">
        <v>1001</v>
      </c>
      <c r="B2" s="1">
        <v>45513</v>
      </c>
      <c r="C2" s="13" t="s">
        <v>8</v>
      </c>
      <c r="D2" s="13" t="s">
        <v>9</v>
      </c>
      <c r="E2" s="13" t="s">
        <v>10</v>
      </c>
      <c r="F2">
        <v>18</v>
      </c>
      <c r="G2">
        <v>64.72</v>
      </c>
      <c r="H2">
        <v>1164.96</v>
      </c>
    </row>
    <row r="3" spans="1:8" x14ac:dyDescent="0.25">
      <c r="A3">
        <v>1002</v>
      </c>
      <c r="B3" s="1">
        <v>45316</v>
      </c>
      <c r="C3" s="13" t="s">
        <v>11</v>
      </c>
      <c r="D3" s="13" t="s">
        <v>9</v>
      </c>
      <c r="E3" s="13" t="s">
        <v>12</v>
      </c>
      <c r="F3">
        <v>1</v>
      </c>
      <c r="G3">
        <v>627.14</v>
      </c>
      <c r="H3">
        <v>627.14</v>
      </c>
    </row>
    <row r="4" spans="1:8" x14ac:dyDescent="0.25">
      <c r="A4">
        <v>1003</v>
      </c>
      <c r="B4" s="1">
        <v>45596</v>
      </c>
      <c r="C4" s="13" t="s">
        <v>13</v>
      </c>
      <c r="D4" s="13" t="s">
        <v>9</v>
      </c>
      <c r="E4" s="13" t="s">
        <v>14</v>
      </c>
      <c r="F4">
        <v>10</v>
      </c>
      <c r="G4">
        <v>265.44</v>
      </c>
      <c r="H4">
        <v>2654.4</v>
      </c>
    </row>
    <row r="5" spans="1:8" x14ac:dyDescent="0.25">
      <c r="A5">
        <v>1004</v>
      </c>
      <c r="B5" s="1">
        <v>45467</v>
      </c>
      <c r="C5" s="13" t="s">
        <v>13</v>
      </c>
      <c r="D5" s="13" t="s">
        <v>9</v>
      </c>
      <c r="E5" s="13" t="s">
        <v>12</v>
      </c>
      <c r="F5">
        <v>6</v>
      </c>
      <c r="G5">
        <v>983.24</v>
      </c>
      <c r="H5">
        <v>5899.4400000000014</v>
      </c>
    </row>
    <row r="6" spans="1:8" x14ac:dyDescent="0.25">
      <c r="A6">
        <v>1005</v>
      </c>
      <c r="B6" s="1">
        <v>45611</v>
      </c>
      <c r="C6" s="13" t="s">
        <v>13</v>
      </c>
      <c r="D6" s="13" t="s">
        <v>15</v>
      </c>
      <c r="E6" s="13" t="s">
        <v>16</v>
      </c>
      <c r="F6">
        <v>10</v>
      </c>
      <c r="G6">
        <v>1336.99</v>
      </c>
      <c r="H6">
        <v>13369.9</v>
      </c>
    </row>
    <row r="7" spans="1:8" x14ac:dyDescent="0.25">
      <c r="A7">
        <v>1006</v>
      </c>
      <c r="B7" s="1">
        <v>45335</v>
      </c>
      <c r="C7" s="13" t="s">
        <v>17</v>
      </c>
      <c r="D7" s="13" t="s">
        <v>18</v>
      </c>
      <c r="E7" s="13" t="s">
        <v>12</v>
      </c>
      <c r="F7">
        <v>11</v>
      </c>
      <c r="G7">
        <v>804.65</v>
      </c>
      <c r="H7">
        <v>8851.15</v>
      </c>
    </row>
    <row r="8" spans="1:8" x14ac:dyDescent="0.25">
      <c r="A8">
        <v>1007</v>
      </c>
      <c r="B8" s="1">
        <v>45300</v>
      </c>
      <c r="C8" s="13" t="s">
        <v>19</v>
      </c>
      <c r="D8" s="13" t="s">
        <v>9</v>
      </c>
      <c r="E8" s="13" t="s">
        <v>10</v>
      </c>
      <c r="F8">
        <v>3</v>
      </c>
      <c r="G8">
        <v>1272.33</v>
      </c>
      <c r="H8">
        <v>3816.99</v>
      </c>
    </row>
    <row r="9" spans="1:8" x14ac:dyDescent="0.25">
      <c r="A9">
        <v>1008</v>
      </c>
      <c r="B9" s="1">
        <v>45310</v>
      </c>
      <c r="C9" s="13" t="s">
        <v>11</v>
      </c>
      <c r="D9" s="13" t="s">
        <v>9</v>
      </c>
      <c r="E9" s="13" t="s">
        <v>10</v>
      </c>
      <c r="F9">
        <v>14</v>
      </c>
      <c r="G9">
        <v>1149.95</v>
      </c>
      <c r="H9">
        <v>16099.3</v>
      </c>
    </row>
    <row r="10" spans="1:8" x14ac:dyDescent="0.25">
      <c r="A10">
        <v>1009</v>
      </c>
      <c r="B10" s="1">
        <v>45393</v>
      </c>
      <c r="C10" s="13" t="s">
        <v>11</v>
      </c>
      <c r="D10" s="13" t="s">
        <v>15</v>
      </c>
      <c r="E10" s="13" t="s">
        <v>16</v>
      </c>
      <c r="F10">
        <v>4</v>
      </c>
      <c r="G10">
        <v>943.1</v>
      </c>
      <c r="H10">
        <v>3772.4</v>
      </c>
    </row>
    <row r="11" spans="1:8" x14ac:dyDescent="0.25">
      <c r="A11">
        <v>1010</v>
      </c>
      <c r="B11" s="1">
        <v>45537</v>
      </c>
      <c r="C11" s="13" t="s">
        <v>11</v>
      </c>
      <c r="D11" s="13" t="s">
        <v>18</v>
      </c>
      <c r="E11" s="13" t="s">
        <v>10</v>
      </c>
      <c r="F11">
        <v>5</v>
      </c>
      <c r="G11">
        <v>897.09</v>
      </c>
      <c r="H11">
        <v>4485.45</v>
      </c>
    </row>
    <row r="12" spans="1:8" x14ac:dyDescent="0.25">
      <c r="A12">
        <v>1011</v>
      </c>
      <c r="B12" s="1">
        <v>45543</v>
      </c>
      <c r="C12" s="13" t="s">
        <v>17</v>
      </c>
      <c r="D12" s="13" t="s">
        <v>20</v>
      </c>
      <c r="E12" s="13" t="s">
        <v>10</v>
      </c>
      <c r="F12">
        <v>2</v>
      </c>
      <c r="G12">
        <v>766.02</v>
      </c>
      <c r="H12">
        <v>1532.04</v>
      </c>
    </row>
    <row r="13" spans="1:8" x14ac:dyDescent="0.25">
      <c r="A13">
        <v>1012</v>
      </c>
      <c r="B13" s="1">
        <v>45407</v>
      </c>
      <c r="C13" s="13" t="s">
        <v>8</v>
      </c>
      <c r="D13" s="13" t="s">
        <v>9</v>
      </c>
      <c r="E13" s="13" t="s">
        <v>10</v>
      </c>
      <c r="F13">
        <v>9</v>
      </c>
      <c r="G13">
        <v>823.96</v>
      </c>
      <c r="H13">
        <v>7415.64</v>
      </c>
    </row>
    <row r="14" spans="1:8" x14ac:dyDescent="0.25">
      <c r="A14">
        <v>1013</v>
      </c>
      <c r="B14" s="1">
        <v>45444</v>
      </c>
      <c r="C14" s="13" t="s">
        <v>19</v>
      </c>
      <c r="D14" s="13" t="s">
        <v>18</v>
      </c>
      <c r="E14" s="13" t="s">
        <v>14</v>
      </c>
      <c r="F14">
        <v>17</v>
      </c>
      <c r="G14">
        <v>1485</v>
      </c>
      <c r="H14">
        <v>25245</v>
      </c>
    </row>
    <row r="15" spans="1:8" x14ac:dyDescent="0.25">
      <c r="A15">
        <v>1014</v>
      </c>
      <c r="B15" s="1">
        <v>45371</v>
      </c>
      <c r="C15" s="13" t="s">
        <v>17</v>
      </c>
      <c r="D15" s="13" t="s">
        <v>15</v>
      </c>
      <c r="E15" s="13" t="s">
        <v>21</v>
      </c>
      <c r="F15">
        <v>6</v>
      </c>
      <c r="G15">
        <v>550.55999999999995</v>
      </c>
      <c r="H15">
        <v>3303.36</v>
      </c>
    </row>
    <row r="16" spans="1:8" x14ac:dyDescent="0.25">
      <c r="A16">
        <v>1015</v>
      </c>
      <c r="B16" s="1">
        <v>45617</v>
      </c>
      <c r="C16" s="13" t="s">
        <v>17</v>
      </c>
      <c r="D16" s="13" t="s">
        <v>15</v>
      </c>
      <c r="E16" s="13" t="s">
        <v>12</v>
      </c>
      <c r="F16">
        <v>1</v>
      </c>
      <c r="G16">
        <v>346.66</v>
      </c>
      <c r="H16">
        <v>346.66</v>
      </c>
    </row>
    <row r="17" spans="1:8" x14ac:dyDescent="0.25">
      <c r="A17">
        <v>1016</v>
      </c>
      <c r="B17" s="1">
        <v>45605</v>
      </c>
      <c r="C17" s="13" t="s">
        <v>8</v>
      </c>
      <c r="D17" s="13" t="s">
        <v>15</v>
      </c>
      <c r="E17" s="13" t="s">
        <v>12</v>
      </c>
      <c r="F17">
        <v>14</v>
      </c>
      <c r="G17">
        <v>415.45</v>
      </c>
      <c r="H17">
        <v>5816.3</v>
      </c>
    </row>
    <row r="18" spans="1:8" x14ac:dyDescent="0.25">
      <c r="A18">
        <v>1017</v>
      </c>
      <c r="B18" s="1">
        <v>45495</v>
      </c>
      <c r="C18" s="13" t="s">
        <v>19</v>
      </c>
      <c r="D18" s="13" t="s">
        <v>15</v>
      </c>
      <c r="E18" s="13" t="s">
        <v>10</v>
      </c>
      <c r="F18">
        <v>12</v>
      </c>
      <c r="G18">
        <v>405.58</v>
      </c>
      <c r="H18">
        <v>4866.96</v>
      </c>
    </row>
    <row r="19" spans="1:8" x14ac:dyDescent="0.25">
      <c r="A19">
        <v>1018</v>
      </c>
      <c r="B19" s="1">
        <v>45515</v>
      </c>
      <c r="C19" s="13" t="s">
        <v>13</v>
      </c>
      <c r="D19" s="13" t="s">
        <v>9</v>
      </c>
      <c r="E19" s="13" t="s">
        <v>12</v>
      </c>
      <c r="F19">
        <v>2</v>
      </c>
      <c r="G19">
        <v>1193.24</v>
      </c>
      <c r="H19">
        <v>2386.48</v>
      </c>
    </row>
    <row r="20" spans="1:8" x14ac:dyDescent="0.25">
      <c r="A20">
        <v>1019</v>
      </c>
      <c r="B20" s="1">
        <v>45531</v>
      </c>
      <c r="C20" s="13" t="s">
        <v>17</v>
      </c>
      <c r="D20" s="13" t="s">
        <v>18</v>
      </c>
      <c r="E20" s="13" t="s">
        <v>21</v>
      </c>
      <c r="F20">
        <v>17</v>
      </c>
      <c r="G20">
        <v>774.21</v>
      </c>
      <c r="H20">
        <v>13161.57</v>
      </c>
    </row>
    <row r="21" spans="1:8" x14ac:dyDescent="0.25">
      <c r="A21">
        <v>1020</v>
      </c>
      <c r="B21" s="1">
        <v>45597</v>
      </c>
      <c r="C21" s="13" t="s">
        <v>11</v>
      </c>
      <c r="D21" s="13" t="s">
        <v>9</v>
      </c>
      <c r="E21" s="13" t="s">
        <v>10</v>
      </c>
      <c r="F21">
        <v>16</v>
      </c>
      <c r="G21">
        <v>1440.18</v>
      </c>
      <c r="H21">
        <v>23042.880000000001</v>
      </c>
    </row>
    <row r="22" spans="1:8" x14ac:dyDescent="0.25">
      <c r="A22">
        <v>1021</v>
      </c>
      <c r="B22" s="1">
        <v>45372</v>
      </c>
      <c r="C22" s="13" t="s">
        <v>17</v>
      </c>
      <c r="D22" s="13" t="s">
        <v>9</v>
      </c>
      <c r="E22" s="13" t="s">
        <v>10</v>
      </c>
      <c r="F22">
        <v>8</v>
      </c>
      <c r="G22">
        <v>1065.2</v>
      </c>
      <c r="H22">
        <v>8521.6</v>
      </c>
    </row>
    <row r="23" spans="1:8" x14ac:dyDescent="0.25">
      <c r="A23">
        <v>1022</v>
      </c>
      <c r="B23" s="1">
        <v>45434</v>
      </c>
      <c r="C23" s="13" t="s">
        <v>17</v>
      </c>
      <c r="D23" s="13" t="s">
        <v>18</v>
      </c>
      <c r="E23" s="13" t="s">
        <v>12</v>
      </c>
      <c r="F23">
        <v>11</v>
      </c>
      <c r="G23">
        <v>1365.83</v>
      </c>
      <c r="H23">
        <v>15024.13</v>
      </c>
    </row>
    <row r="24" spans="1:8" x14ac:dyDescent="0.25">
      <c r="A24">
        <v>1023</v>
      </c>
      <c r="B24" s="1">
        <v>45612</v>
      </c>
      <c r="C24" s="13" t="s">
        <v>11</v>
      </c>
      <c r="D24" s="13" t="s">
        <v>15</v>
      </c>
      <c r="E24" s="13" t="s">
        <v>10</v>
      </c>
      <c r="F24">
        <v>2</v>
      </c>
      <c r="G24">
        <v>325.52999999999997</v>
      </c>
      <c r="H24">
        <v>651.05999999999995</v>
      </c>
    </row>
    <row r="25" spans="1:8" x14ac:dyDescent="0.25">
      <c r="A25">
        <v>1024</v>
      </c>
      <c r="B25" s="1">
        <v>45604</v>
      </c>
      <c r="C25" s="13" t="s">
        <v>19</v>
      </c>
      <c r="D25" s="13" t="s">
        <v>20</v>
      </c>
      <c r="E25" s="13" t="s">
        <v>10</v>
      </c>
      <c r="F25">
        <v>14</v>
      </c>
      <c r="G25">
        <v>381.29</v>
      </c>
      <c r="H25">
        <v>5338.06</v>
      </c>
    </row>
    <row r="26" spans="1:8" x14ac:dyDescent="0.25">
      <c r="A26">
        <v>1025</v>
      </c>
      <c r="B26" s="1">
        <v>45415</v>
      </c>
      <c r="C26" s="13" t="s">
        <v>11</v>
      </c>
      <c r="D26" s="13" t="s">
        <v>15</v>
      </c>
      <c r="E26" s="13" t="s">
        <v>14</v>
      </c>
      <c r="F26">
        <v>8</v>
      </c>
      <c r="G26">
        <v>452.66</v>
      </c>
      <c r="H26">
        <v>3621.28</v>
      </c>
    </row>
    <row r="27" spans="1:8" x14ac:dyDescent="0.25">
      <c r="A27">
        <v>1026</v>
      </c>
      <c r="B27" s="1">
        <v>45573</v>
      </c>
      <c r="C27" s="13" t="s">
        <v>11</v>
      </c>
      <c r="D27" s="13" t="s">
        <v>9</v>
      </c>
      <c r="E27" s="13" t="s">
        <v>14</v>
      </c>
      <c r="F27">
        <v>5</v>
      </c>
      <c r="G27">
        <v>569.89</v>
      </c>
      <c r="H27">
        <v>2849.45</v>
      </c>
    </row>
    <row r="28" spans="1:8" x14ac:dyDescent="0.25">
      <c r="A28">
        <v>1027</v>
      </c>
      <c r="B28" s="1">
        <v>45495</v>
      </c>
      <c r="C28" s="13" t="s">
        <v>19</v>
      </c>
      <c r="D28" s="13" t="s">
        <v>9</v>
      </c>
      <c r="E28" s="13" t="s">
        <v>12</v>
      </c>
      <c r="F28">
        <v>5</v>
      </c>
      <c r="G28">
        <v>1271.6199999999999</v>
      </c>
      <c r="H28">
        <v>6358.0999999999995</v>
      </c>
    </row>
    <row r="29" spans="1:8" x14ac:dyDescent="0.25">
      <c r="A29">
        <v>1028</v>
      </c>
      <c r="B29" s="1">
        <v>45296</v>
      </c>
      <c r="C29" s="13" t="s">
        <v>8</v>
      </c>
      <c r="D29" s="13" t="s">
        <v>18</v>
      </c>
      <c r="E29" s="13" t="s">
        <v>14</v>
      </c>
      <c r="F29">
        <v>16</v>
      </c>
      <c r="G29">
        <v>1172.26</v>
      </c>
      <c r="H29">
        <v>18756.16</v>
      </c>
    </row>
    <row r="30" spans="1:8" x14ac:dyDescent="0.25">
      <c r="A30">
        <v>1029</v>
      </c>
      <c r="B30" s="1">
        <v>45611</v>
      </c>
      <c r="C30" s="13" t="s">
        <v>8</v>
      </c>
      <c r="D30" s="13" t="s">
        <v>9</v>
      </c>
      <c r="E30" s="13" t="s">
        <v>21</v>
      </c>
      <c r="F30">
        <v>1</v>
      </c>
      <c r="G30">
        <v>307.38</v>
      </c>
      <c r="H30">
        <v>307.38</v>
      </c>
    </row>
    <row r="31" spans="1:8" x14ac:dyDescent="0.25">
      <c r="A31">
        <v>1030</v>
      </c>
      <c r="B31" s="1">
        <v>45453</v>
      </c>
      <c r="C31" s="13" t="s">
        <v>8</v>
      </c>
      <c r="D31" s="13" t="s">
        <v>18</v>
      </c>
      <c r="E31" s="13" t="s">
        <v>16</v>
      </c>
      <c r="F31">
        <v>9</v>
      </c>
      <c r="G31">
        <v>1279.04</v>
      </c>
      <c r="H31">
        <v>11511.36</v>
      </c>
    </row>
    <row r="32" spans="1:8" x14ac:dyDescent="0.25">
      <c r="A32">
        <v>1031</v>
      </c>
      <c r="B32" s="1">
        <v>45545</v>
      </c>
      <c r="C32" s="13" t="s">
        <v>19</v>
      </c>
      <c r="D32" s="13" t="s">
        <v>9</v>
      </c>
      <c r="E32" s="13" t="s">
        <v>14</v>
      </c>
      <c r="F32">
        <v>6</v>
      </c>
      <c r="G32">
        <v>276</v>
      </c>
      <c r="H32">
        <v>1656</v>
      </c>
    </row>
    <row r="33" spans="1:8" x14ac:dyDescent="0.25">
      <c r="A33">
        <v>1032</v>
      </c>
      <c r="B33" s="1">
        <v>45618</v>
      </c>
      <c r="C33" s="13" t="s">
        <v>11</v>
      </c>
      <c r="D33" s="13" t="s">
        <v>20</v>
      </c>
      <c r="E33" s="13" t="s">
        <v>10</v>
      </c>
      <c r="F33">
        <v>2</v>
      </c>
      <c r="G33">
        <v>1381.08</v>
      </c>
      <c r="H33">
        <v>2762.16</v>
      </c>
    </row>
    <row r="34" spans="1:8" x14ac:dyDescent="0.25">
      <c r="A34">
        <v>1033</v>
      </c>
      <c r="B34" s="1">
        <v>45593</v>
      </c>
      <c r="C34" s="13" t="s">
        <v>11</v>
      </c>
      <c r="D34" s="13" t="s">
        <v>15</v>
      </c>
      <c r="E34" s="13" t="s">
        <v>12</v>
      </c>
      <c r="F34">
        <v>3</v>
      </c>
      <c r="G34">
        <v>866.67</v>
      </c>
      <c r="H34">
        <v>2600.0100000000002</v>
      </c>
    </row>
    <row r="35" spans="1:8" x14ac:dyDescent="0.25">
      <c r="A35">
        <v>1034</v>
      </c>
      <c r="B35" s="1">
        <v>45530</v>
      </c>
      <c r="C35" s="13" t="s">
        <v>19</v>
      </c>
      <c r="D35" s="13" t="s">
        <v>15</v>
      </c>
      <c r="E35" s="13" t="s">
        <v>21</v>
      </c>
      <c r="F35">
        <v>8</v>
      </c>
      <c r="G35">
        <v>981.68</v>
      </c>
      <c r="H35">
        <v>7853.44</v>
      </c>
    </row>
    <row r="36" spans="1:8" x14ac:dyDescent="0.25">
      <c r="A36">
        <v>1035</v>
      </c>
      <c r="B36" s="1">
        <v>45430</v>
      </c>
      <c r="C36" s="13" t="s">
        <v>19</v>
      </c>
      <c r="D36" s="13" t="s">
        <v>15</v>
      </c>
      <c r="E36" s="13" t="s">
        <v>10</v>
      </c>
      <c r="F36">
        <v>17</v>
      </c>
      <c r="G36">
        <v>911.72</v>
      </c>
      <c r="H36">
        <v>15499.24</v>
      </c>
    </row>
    <row r="37" spans="1:8" x14ac:dyDescent="0.25">
      <c r="A37">
        <v>1036</v>
      </c>
      <c r="B37" s="1">
        <v>45541</v>
      </c>
      <c r="C37" s="13" t="s">
        <v>11</v>
      </c>
      <c r="D37" s="13" t="s">
        <v>18</v>
      </c>
      <c r="E37" s="13" t="s">
        <v>21</v>
      </c>
      <c r="F37">
        <v>4</v>
      </c>
      <c r="G37">
        <v>441.32</v>
      </c>
      <c r="H37">
        <v>1765.28</v>
      </c>
    </row>
    <row r="38" spans="1:8" x14ac:dyDescent="0.25">
      <c r="A38">
        <v>1037</v>
      </c>
      <c r="B38" s="1">
        <v>45556</v>
      </c>
      <c r="C38" s="13" t="s">
        <v>13</v>
      </c>
      <c r="D38" s="13" t="s">
        <v>20</v>
      </c>
      <c r="E38" s="13" t="s">
        <v>21</v>
      </c>
      <c r="F38">
        <v>17</v>
      </c>
      <c r="G38">
        <v>538.85</v>
      </c>
      <c r="H38">
        <v>9160.4500000000007</v>
      </c>
    </row>
    <row r="39" spans="1:8" x14ac:dyDescent="0.25">
      <c r="A39">
        <v>1038</v>
      </c>
      <c r="B39" s="1">
        <v>45586</v>
      </c>
      <c r="C39" s="13" t="s">
        <v>13</v>
      </c>
      <c r="D39" s="13" t="s">
        <v>20</v>
      </c>
      <c r="E39" s="13" t="s">
        <v>12</v>
      </c>
      <c r="F39">
        <v>10</v>
      </c>
      <c r="G39">
        <v>295.69</v>
      </c>
      <c r="H39">
        <v>2956.9</v>
      </c>
    </row>
    <row r="40" spans="1:8" x14ac:dyDescent="0.25">
      <c r="A40">
        <v>1039</v>
      </c>
      <c r="B40" s="1">
        <v>45614</v>
      </c>
      <c r="C40" s="13" t="s">
        <v>13</v>
      </c>
      <c r="D40" s="13" t="s">
        <v>18</v>
      </c>
      <c r="E40" s="13" t="s">
        <v>12</v>
      </c>
      <c r="F40">
        <v>13</v>
      </c>
      <c r="G40">
        <v>1154.3900000000001</v>
      </c>
      <c r="H40">
        <v>15007.07</v>
      </c>
    </row>
    <row r="41" spans="1:8" x14ac:dyDescent="0.25">
      <c r="A41">
        <v>1040</v>
      </c>
      <c r="B41" s="1">
        <v>45491</v>
      </c>
      <c r="C41" s="13" t="s">
        <v>8</v>
      </c>
      <c r="D41" s="13" t="s">
        <v>9</v>
      </c>
      <c r="E41" s="13" t="s">
        <v>10</v>
      </c>
      <c r="F41">
        <v>4</v>
      </c>
      <c r="G41">
        <v>321.76</v>
      </c>
      <c r="H41">
        <v>1287.04</v>
      </c>
    </row>
    <row r="42" spans="1:8" x14ac:dyDescent="0.25">
      <c r="A42">
        <v>1041</v>
      </c>
      <c r="B42" s="1">
        <v>45647</v>
      </c>
      <c r="C42" s="13" t="s">
        <v>13</v>
      </c>
      <c r="D42" s="13" t="s">
        <v>15</v>
      </c>
      <c r="E42" s="13" t="s">
        <v>16</v>
      </c>
      <c r="F42">
        <v>8</v>
      </c>
      <c r="G42">
        <v>1150.94</v>
      </c>
      <c r="H42">
        <v>9207.52</v>
      </c>
    </row>
    <row r="43" spans="1:8" x14ac:dyDescent="0.25">
      <c r="A43">
        <v>1042</v>
      </c>
      <c r="B43" s="1">
        <v>45629</v>
      </c>
      <c r="C43" s="13" t="s">
        <v>11</v>
      </c>
      <c r="D43" s="13" t="s">
        <v>20</v>
      </c>
      <c r="E43" s="13" t="s">
        <v>14</v>
      </c>
      <c r="F43">
        <v>14</v>
      </c>
      <c r="G43">
        <v>93.12</v>
      </c>
      <c r="H43">
        <v>1303.68</v>
      </c>
    </row>
    <row r="44" spans="1:8" x14ac:dyDescent="0.25">
      <c r="A44">
        <v>1043</v>
      </c>
      <c r="B44" s="1">
        <v>45616</v>
      </c>
      <c r="C44" s="13" t="s">
        <v>17</v>
      </c>
      <c r="D44" s="13" t="s">
        <v>9</v>
      </c>
      <c r="E44" s="13" t="s">
        <v>16</v>
      </c>
      <c r="F44">
        <v>12</v>
      </c>
      <c r="G44">
        <v>351.52</v>
      </c>
      <c r="H44">
        <v>4218.24</v>
      </c>
    </row>
    <row r="45" spans="1:8" x14ac:dyDescent="0.25">
      <c r="A45">
        <v>1044</v>
      </c>
      <c r="B45" s="1">
        <v>45508</v>
      </c>
      <c r="C45" s="13" t="s">
        <v>13</v>
      </c>
      <c r="D45" s="13" t="s">
        <v>9</v>
      </c>
      <c r="E45" s="13" t="s">
        <v>14</v>
      </c>
      <c r="F45">
        <v>10</v>
      </c>
      <c r="G45">
        <v>930.7</v>
      </c>
      <c r="H45">
        <v>9307</v>
      </c>
    </row>
    <row r="46" spans="1:8" x14ac:dyDescent="0.25">
      <c r="A46">
        <v>1045</v>
      </c>
      <c r="B46" s="1">
        <v>45432</v>
      </c>
      <c r="C46" s="13" t="s">
        <v>19</v>
      </c>
      <c r="D46" s="13" t="s">
        <v>18</v>
      </c>
      <c r="E46" s="13" t="s">
        <v>16</v>
      </c>
      <c r="F46">
        <v>8</v>
      </c>
      <c r="G46">
        <v>703.23</v>
      </c>
      <c r="H46">
        <v>5625.84</v>
      </c>
    </row>
    <row r="47" spans="1:8" x14ac:dyDescent="0.25">
      <c r="A47">
        <v>1046</v>
      </c>
      <c r="B47" s="1">
        <v>45314</v>
      </c>
      <c r="C47" s="13" t="s">
        <v>8</v>
      </c>
      <c r="D47" s="13" t="s">
        <v>15</v>
      </c>
      <c r="E47" s="13" t="s">
        <v>14</v>
      </c>
      <c r="F47">
        <v>17</v>
      </c>
      <c r="G47">
        <v>1428.89</v>
      </c>
      <c r="H47">
        <v>24291.13</v>
      </c>
    </row>
    <row r="48" spans="1:8" x14ac:dyDescent="0.25">
      <c r="A48">
        <v>1047</v>
      </c>
      <c r="B48" s="1">
        <v>45484</v>
      </c>
      <c r="C48" s="13" t="s">
        <v>11</v>
      </c>
      <c r="D48" s="13" t="s">
        <v>18</v>
      </c>
      <c r="E48" s="13" t="s">
        <v>12</v>
      </c>
      <c r="F48">
        <v>16</v>
      </c>
      <c r="G48">
        <v>294.82</v>
      </c>
      <c r="H48">
        <v>4717.12</v>
      </c>
    </row>
    <row r="49" spans="1:8" x14ac:dyDescent="0.25">
      <c r="A49">
        <v>1048</v>
      </c>
      <c r="B49" s="1">
        <v>45560</v>
      </c>
      <c r="C49" s="13" t="s">
        <v>19</v>
      </c>
      <c r="D49" s="13" t="s">
        <v>18</v>
      </c>
      <c r="E49" s="13" t="s">
        <v>14</v>
      </c>
      <c r="F49">
        <v>8</v>
      </c>
      <c r="G49">
        <v>1326.76</v>
      </c>
      <c r="H49">
        <v>10614.08</v>
      </c>
    </row>
    <row r="50" spans="1:8" x14ac:dyDescent="0.25">
      <c r="A50">
        <v>1049</v>
      </c>
      <c r="B50" s="1">
        <v>45510</v>
      </c>
      <c r="C50" s="13" t="s">
        <v>19</v>
      </c>
      <c r="D50" s="13" t="s">
        <v>20</v>
      </c>
      <c r="E50" s="13" t="s">
        <v>12</v>
      </c>
      <c r="F50">
        <v>4</v>
      </c>
      <c r="G50">
        <v>459.99</v>
      </c>
      <c r="H50">
        <v>1839.96</v>
      </c>
    </row>
    <row r="51" spans="1:8" x14ac:dyDescent="0.25">
      <c r="A51">
        <v>1050</v>
      </c>
      <c r="B51" s="1">
        <v>45356</v>
      </c>
      <c r="C51" s="13" t="s">
        <v>13</v>
      </c>
      <c r="D51" s="13" t="s">
        <v>18</v>
      </c>
      <c r="E51" s="13" t="s">
        <v>14</v>
      </c>
      <c r="F51">
        <v>16</v>
      </c>
      <c r="G51">
        <v>1449.63</v>
      </c>
      <c r="H51">
        <v>23194.080000000002</v>
      </c>
    </row>
    <row r="52" spans="1:8" x14ac:dyDescent="0.25">
      <c r="A52">
        <v>1051</v>
      </c>
      <c r="B52" s="1">
        <v>45599</v>
      </c>
      <c r="C52" s="13" t="s">
        <v>17</v>
      </c>
      <c r="D52" s="13" t="s">
        <v>9</v>
      </c>
      <c r="E52" s="13" t="s">
        <v>14</v>
      </c>
      <c r="F52">
        <v>14</v>
      </c>
      <c r="G52">
        <v>1388.93</v>
      </c>
      <c r="H52">
        <v>19445.02</v>
      </c>
    </row>
    <row r="53" spans="1:8" x14ac:dyDescent="0.25">
      <c r="A53">
        <v>1052</v>
      </c>
      <c r="B53" s="1">
        <v>45617</v>
      </c>
      <c r="C53" s="13" t="s">
        <v>13</v>
      </c>
      <c r="D53" s="13" t="s">
        <v>9</v>
      </c>
      <c r="E53" s="13" t="s">
        <v>14</v>
      </c>
      <c r="F53">
        <v>11</v>
      </c>
      <c r="G53">
        <v>373.41</v>
      </c>
      <c r="H53">
        <v>4107.51</v>
      </c>
    </row>
    <row r="54" spans="1:8" x14ac:dyDescent="0.25">
      <c r="A54">
        <v>1053</v>
      </c>
      <c r="B54" s="1">
        <v>45538</v>
      </c>
      <c r="C54" s="13" t="s">
        <v>13</v>
      </c>
      <c r="D54" s="13" t="s">
        <v>9</v>
      </c>
      <c r="E54" s="13" t="s">
        <v>21</v>
      </c>
      <c r="F54">
        <v>11</v>
      </c>
      <c r="G54">
        <v>546.16999999999996</v>
      </c>
      <c r="H54">
        <v>6007.87</v>
      </c>
    </row>
    <row r="55" spans="1:8" x14ac:dyDescent="0.25">
      <c r="A55">
        <v>1054</v>
      </c>
      <c r="B55" s="1">
        <v>45301</v>
      </c>
      <c r="C55" s="13" t="s">
        <v>19</v>
      </c>
      <c r="D55" s="13" t="s">
        <v>18</v>
      </c>
      <c r="E55" s="13" t="s">
        <v>10</v>
      </c>
      <c r="F55">
        <v>14</v>
      </c>
      <c r="G55">
        <v>1238.49</v>
      </c>
      <c r="H55">
        <v>17338.86</v>
      </c>
    </row>
    <row r="56" spans="1:8" x14ac:dyDescent="0.25">
      <c r="A56">
        <v>1055</v>
      </c>
      <c r="B56" s="1">
        <v>45650</v>
      </c>
      <c r="C56" s="13" t="s">
        <v>13</v>
      </c>
      <c r="D56" s="13" t="s">
        <v>18</v>
      </c>
      <c r="E56" s="13" t="s">
        <v>21</v>
      </c>
      <c r="F56">
        <v>15</v>
      </c>
      <c r="G56">
        <v>1103.04</v>
      </c>
      <c r="H56">
        <v>16545.599999999999</v>
      </c>
    </row>
    <row r="57" spans="1:8" x14ac:dyDescent="0.25">
      <c r="A57">
        <v>1056</v>
      </c>
      <c r="B57" s="1">
        <v>45581</v>
      </c>
      <c r="C57" s="13" t="s">
        <v>13</v>
      </c>
      <c r="D57" s="13" t="s">
        <v>15</v>
      </c>
      <c r="E57" s="13" t="s">
        <v>14</v>
      </c>
      <c r="F57">
        <v>18</v>
      </c>
      <c r="G57">
        <v>1174.48</v>
      </c>
      <c r="H57">
        <v>21140.639999999999</v>
      </c>
    </row>
    <row r="58" spans="1:8" x14ac:dyDescent="0.25">
      <c r="A58">
        <v>1057</v>
      </c>
      <c r="B58" s="1">
        <v>45452</v>
      </c>
      <c r="C58" s="13" t="s">
        <v>8</v>
      </c>
      <c r="D58" s="13" t="s">
        <v>9</v>
      </c>
      <c r="E58" s="13" t="s">
        <v>21</v>
      </c>
      <c r="F58">
        <v>14</v>
      </c>
      <c r="G58">
        <v>1404.68</v>
      </c>
      <c r="H58">
        <v>19665.52</v>
      </c>
    </row>
    <row r="59" spans="1:8" x14ac:dyDescent="0.25">
      <c r="A59">
        <v>1058</v>
      </c>
      <c r="B59" s="1">
        <v>45339</v>
      </c>
      <c r="C59" s="13" t="s">
        <v>8</v>
      </c>
      <c r="D59" s="13" t="s">
        <v>15</v>
      </c>
      <c r="E59" s="13" t="s">
        <v>12</v>
      </c>
      <c r="F59">
        <v>16</v>
      </c>
      <c r="G59">
        <v>66</v>
      </c>
      <c r="H59">
        <v>1056</v>
      </c>
    </row>
    <row r="60" spans="1:8" x14ac:dyDescent="0.25">
      <c r="A60">
        <v>1059</v>
      </c>
      <c r="B60" s="1">
        <v>45426</v>
      </c>
      <c r="C60" s="13" t="s">
        <v>19</v>
      </c>
      <c r="D60" s="13" t="s">
        <v>18</v>
      </c>
      <c r="E60" s="13" t="s">
        <v>14</v>
      </c>
      <c r="F60">
        <v>6</v>
      </c>
      <c r="G60">
        <v>1366.76</v>
      </c>
      <c r="H60">
        <v>8200.56</v>
      </c>
    </row>
    <row r="61" spans="1:8" x14ac:dyDescent="0.25">
      <c r="A61">
        <v>1060</v>
      </c>
      <c r="B61" s="1">
        <v>45343</v>
      </c>
      <c r="C61" s="13" t="s">
        <v>8</v>
      </c>
      <c r="D61" s="13" t="s">
        <v>9</v>
      </c>
      <c r="E61" s="13" t="s">
        <v>21</v>
      </c>
      <c r="F61">
        <v>13</v>
      </c>
      <c r="G61">
        <v>1330.92</v>
      </c>
      <c r="H61">
        <v>17301.96</v>
      </c>
    </row>
    <row r="62" spans="1:8" x14ac:dyDescent="0.25">
      <c r="A62">
        <v>1061</v>
      </c>
      <c r="B62" s="1">
        <v>45466</v>
      </c>
      <c r="C62" s="13" t="s">
        <v>8</v>
      </c>
      <c r="D62" s="13" t="s">
        <v>18</v>
      </c>
      <c r="E62" s="13" t="s">
        <v>21</v>
      </c>
      <c r="F62">
        <v>10</v>
      </c>
      <c r="G62">
        <v>1023.25</v>
      </c>
      <c r="H62">
        <v>10232.5</v>
      </c>
    </row>
    <row r="63" spans="1:8" x14ac:dyDescent="0.25">
      <c r="A63">
        <v>1062</v>
      </c>
      <c r="B63" s="1">
        <v>45502</v>
      </c>
      <c r="C63" s="13" t="s">
        <v>19</v>
      </c>
      <c r="D63" s="13" t="s">
        <v>20</v>
      </c>
      <c r="E63" s="13" t="s">
        <v>21</v>
      </c>
      <c r="F63">
        <v>19</v>
      </c>
      <c r="G63">
        <v>1061.51</v>
      </c>
      <c r="H63">
        <v>20168.689999999999</v>
      </c>
    </row>
    <row r="64" spans="1:8" x14ac:dyDescent="0.25">
      <c r="A64">
        <v>1063</v>
      </c>
      <c r="B64" s="1">
        <v>45342</v>
      </c>
      <c r="C64" s="13" t="s">
        <v>11</v>
      </c>
      <c r="D64" s="13" t="s">
        <v>9</v>
      </c>
      <c r="E64" s="13" t="s">
        <v>16</v>
      </c>
      <c r="F64">
        <v>17</v>
      </c>
      <c r="G64">
        <v>601.57000000000005</v>
      </c>
      <c r="H64">
        <v>10226.69</v>
      </c>
    </row>
    <row r="65" spans="1:8" x14ac:dyDescent="0.25">
      <c r="A65">
        <v>1064</v>
      </c>
      <c r="B65" s="1">
        <v>45419</v>
      </c>
      <c r="C65" s="13" t="s">
        <v>19</v>
      </c>
      <c r="D65" s="13" t="s">
        <v>15</v>
      </c>
      <c r="E65" s="13" t="s">
        <v>12</v>
      </c>
      <c r="F65">
        <v>13</v>
      </c>
      <c r="G65">
        <v>723.64</v>
      </c>
      <c r="H65">
        <v>9407.32</v>
      </c>
    </row>
    <row r="66" spans="1:8" x14ac:dyDescent="0.25">
      <c r="A66">
        <v>1065</v>
      </c>
      <c r="B66" s="1">
        <v>45309</v>
      </c>
      <c r="C66" s="13" t="s">
        <v>19</v>
      </c>
      <c r="D66" s="13" t="s">
        <v>20</v>
      </c>
      <c r="E66" s="13" t="s">
        <v>14</v>
      </c>
      <c r="F66">
        <v>19</v>
      </c>
      <c r="G66">
        <v>75.84</v>
      </c>
      <c r="H66">
        <v>1440.96</v>
      </c>
    </row>
    <row r="67" spans="1:8" x14ac:dyDescent="0.25">
      <c r="A67">
        <v>1066</v>
      </c>
      <c r="B67" s="1">
        <v>45482</v>
      </c>
      <c r="C67" s="13" t="s">
        <v>13</v>
      </c>
      <c r="D67" s="13" t="s">
        <v>9</v>
      </c>
      <c r="E67" s="13" t="s">
        <v>10</v>
      </c>
      <c r="F67">
        <v>9</v>
      </c>
      <c r="G67">
        <v>884.79</v>
      </c>
      <c r="H67">
        <v>7963.11</v>
      </c>
    </row>
    <row r="68" spans="1:8" x14ac:dyDescent="0.25">
      <c r="A68">
        <v>1067</v>
      </c>
      <c r="B68" s="1">
        <v>45421</v>
      </c>
      <c r="C68" s="13" t="s">
        <v>8</v>
      </c>
      <c r="D68" s="13" t="s">
        <v>18</v>
      </c>
      <c r="E68" s="13" t="s">
        <v>10</v>
      </c>
      <c r="F68">
        <v>16</v>
      </c>
      <c r="G68">
        <v>770.54</v>
      </c>
      <c r="H68">
        <v>12328.64</v>
      </c>
    </row>
    <row r="69" spans="1:8" x14ac:dyDescent="0.25">
      <c r="A69">
        <v>1068</v>
      </c>
      <c r="B69" s="1">
        <v>45374</v>
      </c>
      <c r="C69" s="13" t="s">
        <v>19</v>
      </c>
      <c r="D69" s="13" t="s">
        <v>20</v>
      </c>
      <c r="E69" s="13" t="s">
        <v>21</v>
      </c>
      <c r="F69">
        <v>11</v>
      </c>
      <c r="G69">
        <v>766.85</v>
      </c>
      <c r="H69">
        <v>8435.35</v>
      </c>
    </row>
    <row r="70" spans="1:8" x14ac:dyDescent="0.25">
      <c r="A70">
        <v>1069</v>
      </c>
      <c r="B70" s="1">
        <v>45519</v>
      </c>
      <c r="C70" s="13" t="s">
        <v>13</v>
      </c>
      <c r="D70" s="13" t="s">
        <v>20</v>
      </c>
      <c r="E70" s="13" t="s">
        <v>16</v>
      </c>
      <c r="F70">
        <v>11</v>
      </c>
      <c r="G70">
        <v>833.77</v>
      </c>
      <c r="H70">
        <v>9171.4699999999993</v>
      </c>
    </row>
    <row r="71" spans="1:8" x14ac:dyDescent="0.25">
      <c r="A71">
        <v>1070</v>
      </c>
      <c r="B71" s="1">
        <v>45475</v>
      </c>
      <c r="C71" s="13" t="s">
        <v>13</v>
      </c>
      <c r="D71" s="13" t="s">
        <v>15</v>
      </c>
      <c r="E71" s="13" t="s">
        <v>14</v>
      </c>
      <c r="F71">
        <v>18</v>
      </c>
      <c r="G71">
        <v>428.61</v>
      </c>
      <c r="H71">
        <v>7714.98</v>
      </c>
    </row>
    <row r="72" spans="1:8" x14ac:dyDescent="0.25">
      <c r="A72">
        <v>1071</v>
      </c>
      <c r="B72" s="1">
        <v>45418</v>
      </c>
      <c r="C72" s="13" t="s">
        <v>8</v>
      </c>
      <c r="D72" s="13" t="s">
        <v>20</v>
      </c>
      <c r="E72" s="13" t="s">
        <v>14</v>
      </c>
      <c r="F72">
        <v>18</v>
      </c>
      <c r="G72">
        <v>339.91</v>
      </c>
      <c r="H72">
        <v>6118.38</v>
      </c>
    </row>
    <row r="73" spans="1:8" x14ac:dyDescent="0.25">
      <c r="A73">
        <v>1072</v>
      </c>
      <c r="B73" s="1">
        <v>45562</v>
      </c>
      <c r="C73" s="13" t="s">
        <v>11</v>
      </c>
      <c r="D73" s="13" t="s">
        <v>15</v>
      </c>
      <c r="E73" s="13" t="s">
        <v>12</v>
      </c>
      <c r="F73">
        <v>9</v>
      </c>
      <c r="G73">
        <v>89.03</v>
      </c>
      <c r="H73">
        <v>801.27</v>
      </c>
    </row>
    <row r="74" spans="1:8" x14ac:dyDescent="0.25">
      <c r="A74">
        <v>1073</v>
      </c>
      <c r="B74" s="1">
        <v>45625</v>
      </c>
      <c r="C74" s="13" t="s">
        <v>11</v>
      </c>
      <c r="D74" s="13" t="s">
        <v>9</v>
      </c>
      <c r="E74" s="13" t="s">
        <v>16</v>
      </c>
      <c r="F74">
        <v>4</v>
      </c>
      <c r="G74">
        <v>419.26</v>
      </c>
      <c r="H74">
        <v>1677.04</v>
      </c>
    </row>
    <row r="75" spans="1:8" x14ac:dyDescent="0.25">
      <c r="A75">
        <v>1074</v>
      </c>
      <c r="B75" s="1">
        <v>45494</v>
      </c>
      <c r="C75" s="13" t="s">
        <v>8</v>
      </c>
      <c r="D75" s="13" t="s">
        <v>9</v>
      </c>
      <c r="E75" s="13" t="s">
        <v>21</v>
      </c>
      <c r="F75">
        <v>3</v>
      </c>
      <c r="G75">
        <v>1398.95</v>
      </c>
      <c r="H75">
        <v>4196.8500000000004</v>
      </c>
    </row>
    <row r="76" spans="1:8" x14ac:dyDescent="0.25">
      <c r="A76">
        <v>1075</v>
      </c>
      <c r="B76" s="1">
        <v>45594</v>
      </c>
      <c r="C76" s="13" t="s">
        <v>17</v>
      </c>
      <c r="D76" s="13" t="s">
        <v>20</v>
      </c>
      <c r="E76" s="13" t="s">
        <v>21</v>
      </c>
      <c r="F76">
        <v>3</v>
      </c>
      <c r="G76">
        <v>259.04000000000002</v>
      </c>
      <c r="H76">
        <v>777.12000000000012</v>
      </c>
    </row>
    <row r="77" spans="1:8" x14ac:dyDescent="0.25">
      <c r="A77">
        <v>1076</v>
      </c>
      <c r="B77" s="1">
        <v>45624</v>
      </c>
      <c r="C77" s="13" t="s">
        <v>19</v>
      </c>
      <c r="D77" s="13" t="s">
        <v>15</v>
      </c>
      <c r="E77" s="13" t="s">
        <v>21</v>
      </c>
      <c r="F77">
        <v>5</v>
      </c>
      <c r="G77">
        <v>301.2</v>
      </c>
      <c r="H77">
        <v>1506</v>
      </c>
    </row>
    <row r="78" spans="1:8" x14ac:dyDescent="0.25">
      <c r="A78">
        <v>1077</v>
      </c>
      <c r="B78" s="1">
        <v>45564</v>
      </c>
      <c r="C78" s="13" t="s">
        <v>19</v>
      </c>
      <c r="D78" s="13" t="s">
        <v>18</v>
      </c>
      <c r="E78" s="13" t="s">
        <v>14</v>
      </c>
      <c r="F78">
        <v>7</v>
      </c>
      <c r="G78">
        <v>489.05</v>
      </c>
      <c r="H78">
        <v>3423.35</v>
      </c>
    </row>
    <row r="79" spans="1:8" x14ac:dyDescent="0.25">
      <c r="A79">
        <v>1078</v>
      </c>
      <c r="B79" s="1">
        <v>45497</v>
      </c>
      <c r="C79" s="13" t="s">
        <v>13</v>
      </c>
      <c r="D79" s="13" t="s">
        <v>15</v>
      </c>
      <c r="E79" s="13" t="s">
        <v>12</v>
      </c>
      <c r="F79">
        <v>5</v>
      </c>
      <c r="G79">
        <v>1346.03</v>
      </c>
      <c r="H79">
        <v>6730.15</v>
      </c>
    </row>
    <row r="80" spans="1:8" x14ac:dyDescent="0.25">
      <c r="A80">
        <v>1079</v>
      </c>
      <c r="B80" s="1">
        <v>45488</v>
      </c>
      <c r="C80" s="13" t="s">
        <v>8</v>
      </c>
      <c r="D80" s="13" t="s">
        <v>15</v>
      </c>
      <c r="E80" s="13" t="s">
        <v>14</v>
      </c>
      <c r="F80">
        <v>17</v>
      </c>
      <c r="G80">
        <v>1355.68</v>
      </c>
      <c r="H80">
        <v>23046.560000000001</v>
      </c>
    </row>
    <row r="81" spans="1:8" x14ac:dyDescent="0.25">
      <c r="A81">
        <v>1080</v>
      </c>
      <c r="B81" s="1">
        <v>45294</v>
      </c>
      <c r="C81" s="13" t="s">
        <v>19</v>
      </c>
      <c r="D81" s="13" t="s">
        <v>9</v>
      </c>
      <c r="E81" s="13" t="s">
        <v>16</v>
      </c>
      <c r="F81">
        <v>13</v>
      </c>
      <c r="G81">
        <v>110.66</v>
      </c>
      <c r="H81">
        <v>1438.58</v>
      </c>
    </row>
    <row r="82" spans="1:8" x14ac:dyDescent="0.25">
      <c r="A82">
        <v>1081</v>
      </c>
      <c r="B82" s="1">
        <v>45648</v>
      </c>
      <c r="C82" s="13" t="s">
        <v>17</v>
      </c>
      <c r="D82" s="13" t="s">
        <v>15</v>
      </c>
      <c r="E82" s="13" t="s">
        <v>21</v>
      </c>
      <c r="F82">
        <v>17</v>
      </c>
      <c r="G82">
        <v>688.82</v>
      </c>
      <c r="H82">
        <v>11709.94</v>
      </c>
    </row>
    <row r="83" spans="1:8" x14ac:dyDescent="0.25">
      <c r="A83">
        <v>1082</v>
      </c>
      <c r="B83" s="1">
        <v>45422</v>
      </c>
      <c r="C83" s="13" t="s">
        <v>11</v>
      </c>
      <c r="D83" s="13" t="s">
        <v>18</v>
      </c>
      <c r="E83" s="13" t="s">
        <v>21</v>
      </c>
      <c r="F83">
        <v>8</v>
      </c>
      <c r="G83">
        <v>262.13</v>
      </c>
      <c r="H83">
        <v>2097.04</v>
      </c>
    </row>
    <row r="84" spans="1:8" x14ac:dyDescent="0.25">
      <c r="A84">
        <v>1083</v>
      </c>
      <c r="B84" s="1">
        <v>45373</v>
      </c>
      <c r="C84" s="13" t="s">
        <v>13</v>
      </c>
      <c r="D84" s="13" t="s">
        <v>9</v>
      </c>
      <c r="E84" s="13" t="s">
        <v>21</v>
      </c>
      <c r="F84">
        <v>19</v>
      </c>
      <c r="G84">
        <v>270.33</v>
      </c>
      <c r="H84">
        <v>5136.2700000000004</v>
      </c>
    </row>
    <row r="85" spans="1:8" x14ac:dyDescent="0.25">
      <c r="A85">
        <v>1084</v>
      </c>
      <c r="B85" s="1">
        <v>45620</v>
      </c>
      <c r="C85" s="13" t="s">
        <v>13</v>
      </c>
      <c r="D85" s="13" t="s">
        <v>18</v>
      </c>
      <c r="E85" s="13" t="s">
        <v>12</v>
      </c>
      <c r="F85">
        <v>4</v>
      </c>
      <c r="G85">
        <v>398.77</v>
      </c>
      <c r="H85">
        <v>1595.08</v>
      </c>
    </row>
    <row r="86" spans="1:8" x14ac:dyDescent="0.25">
      <c r="A86">
        <v>1085</v>
      </c>
      <c r="B86" s="1">
        <v>45519</v>
      </c>
      <c r="C86" s="13" t="s">
        <v>11</v>
      </c>
      <c r="D86" s="13" t="s">
        <v>18</v>
      </c>
      <c r="E86" s="13" t="s">
        <v>21</v>
      </c>
      <c r="F86">
        <v>17</v>
      </c>
      <c r="G86">
        <v>967.94</v>
      </c>
      <c r="H86">
        <v>16454.98</v>
      </c>
    </row>
    <row r="87" spans="1:8" x14ac:dyDescent="0.25">
      <c r="A87">
        <v>1086</v>
      </c>
      <c r="B87" s="1">
        <v>45482</v>
      </c>
      <c r="C87" s="13" t="s">
        <v>19</v>
      </c>
      <c r="D87" s="13" t="s">
        <v>9</v>
      </c>
      <c r="E87" s="13" t="s">
        <v>12</v>
      </c>
      <c r="F87">
        <v>17</v>
      </c>
      <c r="G87">
        <v>491.03</v>
      </c>
      <c r="H87">
        <v>8347.51</v>
      </c>
    </row>
    <row r="88" spans="1:8" x14ac:dyDescent="0.25">
      <c r="A88">
        <v>1087</v>
      </c>
      <c r="B88" s="1">
        <v>45343</v>
      </c>
      <c r="C88" s="13" t="s">
        <v>8</v>
      </c>
      <c r="D88" s="13" t="s">
        <v>9</v>
      </c>
      <c r="E88" s="13" t="s">
        <v>10</v>
      </c>
      <c r="F88">
        <v>13</v>
      </c>
      <c r="G88">
        <v>549.24</v>
      </c>
      <c r="H88">
        <v>7140.12</v>
      </c>
    </row>
    <row r="89" spans="1:8" x14ac:dyDescent="0.25">
      <c r="A89">
        <v>1088</v>
      </c>
      <c r="B89" s="1">
        <v>45355</v>
      </c>
      <c r="C89" s="13" t="s">
        <v>13</v>
      </c>
      <c r="D89" s="13" t="s">
        <v>9</v>
      </c>
      <c r="E89" s="13" t="s">
        <v>12</v>
      </c>
      <c r="F89">
        <v>11</v>
      </c>
      <c r="G89">
        <v>871.43</v>
      </c>
      <c r="H89">
        <v>9585.73</v>
      </c>
    </row>
    <row r="90" spans="1:8" x14ac:dyDescent="0.25">
      <c r="A90">
        <v>1089</v>
      </c>
      <c r="B90" s="1">
        <v>45536</v>
      </c>
      <c r="C90" s="13" t="s">
        <v>11</v>
      </c>
      <c r="D90" s="13" t="s">
        <v>18</v>
      </c>
      <c r="E90" s="13" t="s">
        <v>10</v>
      </c>
      <c r="F90">
        <v>14</v>
      </c>
      <c r="G90">
        <v>754.52</v>
      </c>
      <c r="H90">
        <v>10563.28</v>
      </c>
    </row>
    <row r="91" spans="1:8" x14ac:dyDescent="0.25">
      <c r="A91">
        <v>1090</v>
      </c>
      <c r="B91" s="1">
        <v>45457</v>
      </c>
      <c r="C91" s="13" t="s">
        <v>13</v>
      </c>
      <c r="D91" s="13" t="s">
        <v>18</v>
      </c>
      <c r="E91" s="13" t="s">
        <v>16</v>
      </c>
      <c r="F91">
        <v>4</v>
      </c>
      <c r="G91">
        <v>738.77</v>
      </c>
      <c r="H91">
        <v>2955.08</v>
      </c>
    </row>
    <row r="92" spans="1:8" x14ac:dyDescent="0.25">
      <c r="A92">
        <v>1091</v>
      </c>
      <c r="B92" s="1">
        <v>45554</v>
      </c>
      <c r="C92" s="13" t="s">
        <v>19</v>
      </c>
      <c r="D92" s="13" t="s">
        <v>15</v>
      </c>
      <c r="E92" s="13" t="s">
        <v>12</v>
      </c>
      <c r="F92">
        <v>16</v>
      </c>
      <c r="G92">
        <v>137.6</v>
      </c>
      <c r="H92">
        <v>2201.6</v>
      </c>
    </row>
    <row r="93" spans="1:8" x14ac:dyDescent="0.25">
      <c r="A93">
        <v>1092</v>
      </c>
      <c r="B93" s="1">
        <v>45520</v>
      </c>
      <c r="C93" s="13" t="s">
        <v>8</v>
      </c>
      <c r="D93" s="13" t="s">
        <v>9</v>
      </c>
      <c r="E93" s="13" t="s">
        <v>12</v>
      </c>
      <c r="F93">
        <v>18</v>
      </c>
      <c r="G93">
        <v>914.08</v>
      </c>
      <c r="H93">
        <v>16453.439999999999</v>
      </c>
    </row>
    <row r="94" spans="1:8" x14ac:dyDescent="0.25">
      <c r="A94">
        <v>1093</v>
      </c>
      <c r="B94" s="1">
        <v>45414</v>
      </c>
      <c r="C94" s="13" t="s">
        <v>17</v>
      </c>
      <c r="D94" s="13" t="s">
        <v>9</v>
      </c>
      <c r="E94" s="13" t="s">
        <v>10</v>
      </c>
      <c r="F94">
        <v>6</v>
      </c>
      <c r="G94">
        <v>449.8</v>
      </c>
      <c r="H94">
        <v>2698.8</v>
      </c>
    </row>
    <row r="95" spans="1:8" x14ac:dyDescent="0.25">
      <c r="A95">
        <v>1094</v>
      </c>
      <c r="B95" s="1">
        <v>45414</v>
      </c>
      <c r="C95" s="13" t="s">
        <v>19</v>
      </c>
      <c r="D95" s="13" t="s">
        <v>9</v>
      </c>
      <c r="E95" s="13" t="s">
        <v>21</v>
      </c>
      <c r="F95">
        <v>6</v>
      </c>
      <c r="G95">
        <v>371.85</v>
      </c>
      <c r="H95">
        <v>2231.1</v>
      </c>
    </row>
    <row r="96" spans="1:8" x14ac:dyDescent="0.25">
      <c r="A96">
        <v>1095</v>
      </c>
      <c r="B96" s="1">
        <v>45453</v>
      </c>
      <c r="C96" s="13" t="s">
        <v>17</v>
      </c>
      <c r="D96" s="13" t="s">
        <v>15</v>
      </c>
      <c r="E96" s="13" t="s">
        <v>16</v>
      </c>
      <c r="F96">
        <v>2</v>
      </c>
      <c r="G96">
        <v>640.83000000000004</v>
      </c>
      <c r="H96">
        <v>1281.6600000000001</v>
      </c>
    </row>
    <row r="97" spans="1:8" x14ac:dyDescent="0.25">
      <c r="A97">
        <v>1096</v>
      </c>
      <c r="B97" s="1">
        <v>45338</v>
      </c>
      <c r="C97" s="13" t="s">
        <v>11</v>
      </c>
      <c r="D97" s="13" t="s">
        <v>9</v>
      </c>
      <c r="E97" s="13" t="s">
        <v>12</v>
      </c>
      <c r="F97">
        <v>9</v>
      </c>
      <c r="G97">
        <v>1100.6300000000001</v>
      </c>
      <c r="H97">
        <v>9905.6700000000019</v>
      </c>
    </row>
    <row r="98" spans="1:8" x14ac:dyDescent="0.25">
      <c r="A98">
        <v>1097</v>
      </c>
      <c r="B98" s="1">
        <v>45364</v>
      </c>
      <c r="C98" s="13" t="s">
        <v>19</v>
      </c>
      <c r="D98" s="13" t="s">
        <v>18</v>
      </c>
      <c r="E98" s="13" t="s">
        <v>14</v>
      </c>
      <c r="F98">
        <v>11</v>
      </c>
      <c r="G98">
        <v>904.9</v>
      </c>
      <c r="H98">
        <v>9953.9</v>
      </c>
    </row>
    <row r="99" spans="1:8" x14ac:dyDescent="0.25">
      <c r="A99">
        <v>1098</v>
      </c>
      <c r="B99" s="1">
        <v>45567</v>
      </c>
      <c r="C99" s="13" t="s">
        <v>11</v>
      </c>
      <c r="D99" s="13" t="s">
        <v>15</v>
      </c>
      <c r="E99" s="13" t="s">
        <v>10</v>
      </c>
      <c r="F99">
        <v>16</v>
      </c>
      <c r="G99">
        <v>873.78</v>
      </c>
      <c r="H99">
        <v>13980.48</v>
      </c>
    </row>
    <row r="100" spans="1:8" x14ac:dyDescent="0.25">
      <c r="A100">
        <v>1099</v>
      </c>
      <c r="B100" s="1">
        <v>45349</v>
      </c>
      <c r="C100" s="13" t="s">
        <v>17</v>
      </c>
      <c r="D100" s="13" t="s">
        <v>15</v>
      </c>
      <c r="E100" s="13" t="s">
        <v>12</v>
      </c>
      <c r="F100">
        <v>2</v>
      </c>
      <c r="G100">
        <v>1045.7</v>
      </c>
      <c r="H100">
        <v>2091.4</v>
      </c>
    </row>
    <row r="101" spans="1:8" x14ac:dyDescent="0.25">
      <c r="A101">
        <v>1100</v>
      </c>
      <c r="B101" s="1">
        <v>45513</v>
      </c>
      <c r="C101" s="13" t="s">
        <v>8</v>
      </c>
      <c r="D101" s="13" t="s">
        <v>20</v>
      </c>
      <c r="E101" s="13" t="s">
        <v>12</v>
      </c>
      <c r="F101">
        <v>11</v>
      </c>
      <c r="G101">
        <v>380.06</v>
      </c>
      <c r="H101">
        <v>4180.66</v>
      </c>
    </row>
    <row r="102" spans="1:8" x14ac:dyDescent="0.25">
      <c r="A102">
        <v>1101</v>
      </c>
      <c r="B102" s="1">
        <v>45366</v>
      </c>
      <c r="C102" s="13" t="s">
        <v>17</v>
      </c>
      <c r="D102" s="13" t="s">
        <v>9</v>
      </c>
      <c r="E102" s="13" t="s">
        <v>12</v>
      </c>
      <c r="F102">
        <v>4</v>
      </c>
      <c r="G102">
        <v>531.73</v>
      </c>
      <c r="H102">
        <v>2126.92</v>
      </c>
    </row>
    <row r="103" spans="1:8" x14ac:dyDescent="0.25">
      <c r="A103">
        <v>1102</v>
      </c>
      <c r="B103" s="1">
        <v>45616</v>
      </c>
      <c r="C103" s="13" t="s">
        <v>19</v>
      </c>
      <c r="D103" s="13" t="s">
        <v>9</v>
      </c>
      <c r="E103" s="13" t="s">
        <v>21</v>
      </c>
      <c r="F103">
        <v>15</v>
      </c>
      <c r="G103">
        <v>749.52</v>
      </c>
      <c r="H103">
        <v>11242.8</v>
      </c>
    </row>
    <row r="104" spans="1:8" x14ac:dyDescent="0.25">
      <c r="A104">
        <v>1103</v>
      </c>
      <c r="B104" s="1">
        <v>45463</v>
      </c>
      <c r="C104" s="13" t="s">
        <v>19</v>
      </c>
      <c r="D104" s="13" t="s">
        <v>20</v>
      </c>
      <c r="E104" s="13" t="s">
        <v>16</v>
      </c>
      <c r="F104">
        <v>17</v>
      </c>
      <c r="G104">
        <v>870.82</v>
      </c>
      <c r="H104">
        <v>14803.94</v>
      </c>
    </row>
    <row r="105" spans="1:8" x14ac:dyDescent="0.25">
      <c r="A105">
        <v>1104</v>
      </c>
      <c r="B105" s="1">
        <v>45302</v>
      </c>
      <c r="C105" s="13" t="s">
        <v>19</v>
      </c>
      <c r="D105" s="13" t="s">
        <v>20</v>
      </c>
      <c r="E105" s="13" t="s">
        <v>12</v>
      </c>
      <c r="F105">
        <v>7</v>
      </c>
      <c r="G105">
        <v>130.68</v>
      </c>
      <c r="H105">
        <v>914.76</v>
      </c>
    </row>
    <row r="106" spans="1:8" x14ac:dyDescent="0.25">
      <c r="A106">
        <v>1105</v>
      </c>
      <c r="B106" s="1">
        <v>45298</v>
      </c>
      <c r="C106" s="13" t="s">
        <v>11</v>
      </c>
      <c r="D106" s="13" t="s">
        <v>20</v>
      </c>
      <c r="E106" s="13" t="s">
        <v>14</v>
      </c>
      <c r="F106">
        <v>10</v>
      </c>
      <c r="G106">
        <v>1214.49</v>
      </c>
      <c r="H106">
        <v>12144.9</v>
      </c>
    </row>
    <row r="107" spans="1:8" x14ac:dyDescent="0.25">
      <c r="A107">
        <v>1106</v>
      </c>
      <c r="B107" s="1">
        <v>45350</v>
      </c>
      <c r="C107" s="13" t="s">
        <v>8</v>
      </c>
      <c r="D107" s="13" t="s">
        <v>18</v>
      </c>
      <c r="E107" s="13" t="s">
        <v>14</v>
      </c>
      <c r="F107">
        <v>12</v>
      </c>
      <c r="G107">
        <v>51.17</v>
      </c>
      <c r="H107">
        <v>614.04</v>
      </c>
    </row>
    <row r="108" spans="1:8" x14ac:dyDescent="0.25">
      <c r="A108">
        <v>1107</v>
      </c>
      <c r="B108" s="1">
        <v>45410</v>
      </c>
      <c r="C108" s="13" t="s">
        <v>19</v>
      </c>
      <c r="D108" s="13" t="s">
        <v>9</v>
      </c>
      <c r="E108" s="13" t="s">
        <v>16</v>
      </c>
      <c r="F108">
        <v>2</v>
      </c>
      <c r="G108">
        <v>560.42999999999995</v>
      </c>
      <c r="H108">
        <v>1120.8599999999999</v>
      </c>
    </row>
    <row r="109" spans="1:8" x14ac:dyDescent="0.25">
      <c r="A109">
        <v>1108</v>
      </c>
      <c r="B109" s="1">
        <v>45423</v>
      </c>
      <c r="C109" s="13" t="s">
        <v>19</v>
      </c>
      <c r="D109" s="13" t="s">
        <v>15</v>
      </c>
      <c r="E109" s="13" t="s">
        <v>14</v>
      </c>
      <c r="F109">
        <v>7</v>
      </c>
      <c r="G109">
        <v>1469.62</v>
      </c>
      <c r="H109">
        <v>10287.34</v>
      </c>
    </row>
    <row r="110" spans="1:8" x14ac:dyDescent="0.25">
      <c r="A110">
        <v>1109</v>
      </c>
      <c r="B110" s="1">
        <v>45361</v>
      </c>
      <c r="C110" s="13" t="s">
        <v>13</v>
      </c>
      <c r="D110" s="13" t="s">
        <v>18</v>
      </c>
      <c r="E110" s="13" t="s">
        <v>16</v>
      </c>
      <c r="F110">
        <v>12</v>
      </c>
      <c r="G110">
        <v>1417.79</v>
      </c>
      <c r="H110">
        <v>17013.48</v>
      </c>
    </row>
    <row r="111" spans="1:8" x14ac:dyDescent="0.25">
      <c r="A111">
        <v>1110</v>
      </c>
      <c r="B111" s="1">
        <v>45537</v>
      </c>
      <c r="C111" s="13" t="s">
        <v>19</v>
      </c>
      <c r="D111" s="13" t="s">
        <v>9</v>
      </c>
      <c r="E111" s="13" t="s">
        <v>14</v>
      </c>
      <c r="F111">
        <v>7</v>
      </c>
      <c r="G111">
        <v>72.37</v>
      </c>
      <c r="H111">
        <v>506.59</v>
      </c>
    </row>
    <row r="112" spans="1:8" x14ac:dyDescent="0.25">
      <c r="A112">
        <v>1111</v>
      </c>
      <c r="B112" s="1">
        <v>45490</v>
      </c>
      <c r="C112" s="13" t="s">
        <v>11</v>
      </c>
      <c r="D112" s="13" t="s">
        <v>9</v>
      </c>
      <c r="E112" s="13" t="s">
        <v>21</v>
      </c>
      <c r="F112">
        <v>14</v>
      </c>
      <c r="G112">
        <v>807.39</v>
      </c>
      <c r="H112">
        <v>11303.46</v>
      </c>
    </row>
    <row r="113" spans="1:8" x14ac:dyDescent="0.25">
      <c r="A113">
        <v>1112</v>
      </c>
      <c r="B113" s="1">
        <v>45323</v>
      </c>
      <c r="C113" s="13" t="s">
        <v>19</v>
      </c>
      <c r="D113" s="13" t="s">
        <v>15</v>
      </c>
      <c r="E113" s="13" t="s">
        <v>12</v>
      </c>
      <c r="F113">
        <v>1</v>
      </c>
      <c r="G113">
        <v>1244.5999999999999</v>
      </c>
      <c r="H113">
        <v>1244.5999999999999</v>
      </c>
    </row>
    <row r="114" spans="1:8" x14ac:dyDescent="0.25">
      <c r="A114">
        <v>1113</v>
      </c>
      <c r="B114" s="1">
        <v>45450</v>
      </c>
      <c r="C114" s="13" t="s">
        <v>13</v>
      </c>
      <c r="D114" s="13" t="s">
        <v>18</v>
      </c>
      <c r="E114" s="13" t="s">
        <v>21</v>
      </c>
      <c r="F114">
        <v>9</v>
      </c>
      <c r="G114">
        <v>356.91</v>
      </c>
      <c r="H114">
        <v>3212.19</v>
      </c>
    </row>
    <row r="115" spans="1:8" x14ac:dyDescent="0.25">
      <c r="A115">
        <v>1114</v>
      </c>
      <c r="B115" s="1">
        <v>45571</v>
      </c>
      <c r="C115" s="13" t="s">
        <v>17</v>
      </c>
      <c r="D115" s="13" t="s">
        <v>20</v>
      </c>
      <c r="E115" s="13" t="s">
        <v>10</v>
      </c>
      <c r="F115">
        <v>3</v>
      </c>
      <c r="G115">
        <v>707.86</v>
      </c>
      <c r="H115">
        <v>2123.58</v>
      </c>
    </row>
    <row r="116" spans="1:8" x14ac:dyDescent="0.25">
      <c r="A116">
        <v>1115</v>
      </c>
      <c r="B116" s="1">
        <v>45513</v>
      </c>
      <c r="C116" s="13" t="s">
        <v>11</v>
      </c>
      <c r="D116" s="13" t="s">
        <v>18</v>
      </c>
      <c r="E116" s="13" t="s">
        <v>16</v>
      </c>
      <c r="F116">
        <v>14</v>
      </c>
      <c r="G116">
        <v>740.32</v>
      </c>
      <c r="H116">
        <v>10364.48</v>
      </c>
    </row>
    <row r="117" spans="1:8" x14ac:dyDescent="0.25">
      <c r="A117">
        <v>1116</v>
      </c>
      <c r="B117" s="1">
        <v>45387</v>
      </c>
      <c r="C117" s="13" t="s">
        <v>11</v>
      </c>
      <c r="D117" s="13" t="s">
        <v>9</v>
      </c>
      <c r="E117" s="13" t="s">
        <v>12</v>
      </c>
      <c r="F117">
        <v>15</v>
      </c>
      <c r="G117">
        <v>829.22</v>
      </c>
      <c r="H117">
        <v>12438.3</v>
      </c>
    </row>
    <row r="118" spans="1:8" x14ac:dyDescent="0.25">
      <c r="A118">
        <v>1117</v>
      </c>
      <c r="B118" s="1">
        <v>45453</v>
      </c>
      <c r="C118" s="13" t="s">
        <v>8</v>
      </c>
      <c r="D118" s="13" t="s">
        <v>15</v>
      </c>
      <c r="E118" s="13" t="s">
        <v>10</v>
      </c>
      <c r="F118">
        <v>14</v>
      </c>
      <c r="G118">
        <v>575.23</v>
      </c>
      <c r="H118">
        <v>8053.22</v>
      </c>
    </row>
    <row r="119" spans="1:8" x14ac:dyDescent="0.25">
      <c r="A119">
        <v>1118</v>
      </c>
      <c r="B119" s="1">
        <v>45567</v>
      </c>
      <c r="C119" s="13" t="s">
        <v>17</v>
      </c>
      <c r="D119" s="13" t="s">
        <v>9</v>
      </c>
      <c r="E119" s="13" t="s">
        <v>16</v>
      </c>
      <c r="F119">
        <v>13</v>
      </c>
      <c r="G119">
        <v>1026.97</v>
      </c>
      <c r="H119">
        <v>13350.61</v>
      </c>
    </row>
    <row r="120" spans="1:8" x14ac:dyDescent="0.25">
      <c r="A120">
        <v>1119</v>
      </c>
      <c r="B120" s="1">
        <v>45636</v>
      </c>
      <c r="C120" s="13" t="s">
        <v>8</v>
      </c>
      <c r="D120" s="13" t="s">
        <v>15</v>
      </c>
      <c r="E120" s="13" t="s">
        <v>10</v>
      </c>
      <c r="F120">
        <v>15</v>
      </c>
      <c r="G120">
        <v>146.33000000000001</v>
      </c>
      <c r="H120">
        <v>2194.9499999999998</v>
      </c>
    </row>
    <row r="121" spans="1:8" x14ac:dyDescent="0.25">
      <c r="A121">
        <v>1120</v>
      </c>
      <c r="B121" s="1">
        <v>45319</v>
      </c>
      <c r="C121" s="13" t="s">
        <v>13</v>
      </c>
      <c r="D121" s="13" t="s">
        <v>15</v>
      </c>
      <c r="E121" s="13" t="s">
        <v>10</v>
      </c>
      <c r="F121">
        <v>12</v>
      </c>
      <c r="G121">
        <v>1285.6500000000001</v>
      </c>
      <c r="H121">
        <v>15427.8</v>
      </c>
    </row>
    <row r="122" spans="1:8" x14ac:dyDescent="0.25">
      <c r="A122">
        <v>1121</v>
      </c>
      <c r="B122" s="1">
        <v>45339</v>
      </c>
      <c r="C122" s="13" t="s">
        <v>11</v>
      </c>
      <c r="D122" s="13" t="s">
        <v>18</v>
      </c>
      <c r="E122" s="13" t="s">
        <v>10</v>
      </c>
      <c r="F122">
        <v>14</v>
      </c>
      <c r="G122">
        <v>1483.19</v>
      </c>
      <c r="H122">
        <v>20764.66</v>
      </c>
    </row>
    <row r="123" spans="1:8" x14ac:dyDescent="0.25">
      <c r="A123">
        <v>1122</v>
      </c>
      <c r="B123" s="1">
        <v>45616</v>
      </c>
      <c r="C123" s="13" t="s">
        <v>8</v>
      </c>
      <c r="D123" s="13" t="s">
        <v>9</v>
      </c>
      <c r="E123" s="13" t="s">
        <v>14</v>
      </c>
      <c r="F123">
        <v>7</v>
      </c>
      <c r="G123">
        <v>397.32</v>
      </c>
      <c r="H123">
        <v>2781.24</v>
      </c>
    </row>
    <row r="124" spans="1:8" x14ac:dyDescent="0.25">
      <c r="A124">
        <v>1123</v>
      </c>
      <c r="B124" s="1">
        <v>45525</v>
      </c>
      <c r="C124" s="13" t="s">
        <v>11</v>
      </c>
      <c r="D124" s="13" t="s">
        <v>15</v>
      </c>
      <c r="E124" s="13" t="s">
        <v>16</v>
      </c>
      <c r="F124">
        <v>9</v>
      </c>
      <c r="G124">
        <v>1410.7</v>
      </c>
      <c r="H124">
        <v>12696.3</v>
      </c>
    </row>
    <row r="125" spans="1:8" x14ac:dyDescent="0.25">
      <c r="A125">
        <v>1124</v>
      </c>
      <c r="B125" s="1">
        <v>45329</v>
      </c>
      <c r="C125" s="13" t="s">
        <v>11</v>
      </c>
      <c r="D125" s="13" t="s">
        <v>9</v>
      </c>
      <c r="E125" s="13" t="s">
        <v>21</v>
      </c>
      <c r="F125">
        <v>3</v>
      </c>
      <c r="G125">
        <v>71.099999999999994</v>
      </c>
      <c r="H125">
        <v>213.3</v>
      </c>
    </row>
    <row r="126" spans="1:8" x14ac:dyDescent="0.25">
      <c r="A126">
        <v>1125</v>
      </c>
      <c r="B126" s="1">
        <v>45585</v>
      </c>
      <c r="C126" s="13" t="s">
        <v>19</v>
      </c>
      <c r="D126" s="13" t="s">
        <v>20</v>
      </c>
      <c r="E126" s="13" t="s">
        <v>10</v>
      </c>
      <c r="F126">
        <v>4</v>
      </c>
      <c r="G126">
        <v>731.95</v>
      </c>
      <c r="H126">
        <v>2927.8</v>
      </c>
    </row>
    <row r="127" spans="1:8" x14ac:dyDescent="0.25">
      <c r="A127">
        <v>1126</v>
      </c>
      <c r="B127" s="1">
        <v>45390</v>
      </c>
      <c r="C127" s="13" t="s">
        <v>17</v>
      </c>
      <c r="D127" s="13" t="s">
        <v>15</v>
      </c>
      <c r="E127" s="13" t="s">
        <v>21</v>
      </c>
      <c r="F127">
        <v>18</v>
      </c>
      <c r="G127">
        <v>822.44</v>
      </c>
      <c r="H127">
        <v>14803.92</v>
      </c>
    </row>
    <row r="128" spans="1:8" x14ac:dyDescent="0.25">
      <c r="A128">
        <v>1127</v>
      </c>
      <c r="B128" s="1">
        <v>45360</v>
      </c>
      <c r="C128" s="13" t="s">
        <v>13</v>
      </c>
      <c r="D128" s="13" t="s">
        <v>15</v>
      </c>
      <c r="E128" s="13" t="s">
        <v>14</v>
      </c>
      <c r="F128">
        <v>4</v>
      </c>
      <c r="G128">
        <v>236.32</v>
      </c>
      <c r="H128">
        <v>945.28</v>
      </c>
    </row>
    <row r="129" spans="1:8" x14ac:dyDescent="0.25">
      <c r="A129">
        <v>1128</v>
      </c>
      <c r="B129" s="1">
        <v>45645</v>
      </c>
      <c r="C129" s="13" t="s">
        <v>13</v>
      </c>
      <c r="D129" s="13" t="s">
        <v>15</v>
      </c>
      <c r="E129" s="13" t="s">
        <v>21</v>
      </c>
      <c r="F129">
        <v>17</v>
      </c>
      <c r="G129">
        <v>1167.3</v>
      </c>
      <c r="H129">
        <v>19844.099999999999</v>
      </c>
    </row>
    <row r="130" spans="1:8" x14ac:dyDescent="0.25">
      <c r="A130">
        <v>1129</v>
      </c>
      <c r="B130" s="1">
        <v>45524</v>
      </c>
      <c r="C130" s="13" t="s">
        <v>13</v>
      </c>
      <c r="D130" s="13" t="s">
        <v>9</v>
      </c>
      <c r="E130" s="13" t="s">
        <v>14</v>
      </c>
      <c r="F130">
        <v>18</v>
      </c>
      <c r="G130">
        <v>114.09</v>
      </c>
      <c r="H130">
        <v>2053.62</v>
      </c>
    </row>
    <row r="131" spans="1:8" x14ac:dyDescent="0.25">
      <c r="A131">
        <v>1130</v>
      </c>
      <c r="B131" s="1">
        <v>45444</v>
      </c>
      <c r="C131" s="13" t="s">
        <v>13</v>
      </c>
      <c r="D131" s="13" t="s">
        <v>20</v>
      </c>
      <c r="E131" s="13" t="s">
        <v>12</v>
      </c>
      <c r="F131">
        <v>5</v>
      </c>
      <c r="G131">
        <v>1469.03</v>
      </c>
      <c r="H131">
        <v>7345.15</v>
      </c>
    </row>
    <row r="132" spans="1:8" x14ac:dyDescent="0.25">
      <c r="A132">
        <v>1131</v>
      </c>
      <c r="B132" s="1">
        <v>45344</v>
      </c>
      <c r="C132" s="13" t="s">
        <v>19</v>
      </c>
      <c r="D132" s="13" t="s">
        <v>18</v>
      </c>
      <c r="E132" s="13" t="s">
        <v>21</v>
      </c>
      <c r="F132">
        <v>8</v>
      </c>
      <c r="G132">
        <v>770.99</v>
      </c>
      <c r="H132">
        <v>6167.92</v>
      </c>
    </row>
    <row r="133" spans="1:8" x14ac:dyDescent="0.25">
      <c r="A133">
        <v>1132</v>
      </c>
      <c r="B133" s="1">
        <v>45422</v>
      </c>
      <c r="C133" s="13" t="s">
        <v>8</v>
      </c>
      <c r="D133" s="13" t="s">
        <v>18</v>
      </c>
      <c r="E133" s="13" t="s">
        <v>21</v>
      </c>
      <c r="F133">
        <v>4</v>
      </c>
      <c r="G133">
        <v>322.86</v>
      </c>
      <c r="H133">
        <v>1291.44</v>
      </c>
    </row>
    <row r="134" spans="1:8" x14ac:dyDescent="0.25">
      <c r="A134">
        <v>1133</v>
      </c>
      <c r="B134" s="1">
        <v>45351</v>
      </c>
      <c r="C134" s="13" t="s">
        <v>17</v>
      </c>
      <c r="D134" s="13" t="s">
        <v>18</v>
      </c>
      <c r="E134" s="13" t="s">
        <v>14</v>
      </c>
      <c r="F134">
        <v>17</v>
      </c>
      <c r="G134">
        <v>1006.88</v>
      </c>
      <c r="H134">
        <v>17116.96</v>
      </c>
    </row>
    <row r="135" spans="1:8" x14ac:dyDescent="0.25">
      <c r="A135">
        <v>1134</v>
      </c>
      <c r="B135" s="1">
        <v>45301</v>
      </c>
      <c r="C135" s="13" t="s">
        <v>8</v>
      </c>
      <c r="D135" s="13" t="s">
        <v>18</v>
      </c>
      <c r="E135" s="13" t="s">
        <v>14</v>
      </c>
      <c r="F135">
        <v>11</v>
      </c>
      <c r="G135">
        <v>135.52000000000001</v>
      </c>
      <c r="H135">
        <v>1490.72</v>
      </c>
    </row>
    <row r="136" spans="1:8" x14ac:dyDescent="0.25">
      <c r="A136">
        <v>1135</v>
      </c>
      <c r="B136" s="1">
        <v>45296</v>
      </c>
      <c r="C136" s="13" t="s">
        <v>19</v>
      </c>
      <c r="D136" s="13" t="s">
        <v>20</v>
      </c>
      <c r="E136" s="13" t="s">
        <v>14</v>
      </c>
      <c r="F136">
        <v>1</v>
      </c>
      <c r="G136">
        <v>1352.17</v>
      </c>
      <c r="H136">
        <v>1352.17</v>
      </c>
    </row>
    <row r="137" spans="1:8" x14ac:dyDescent="0.25">
      <c r="A137">
        <v>1136</v>
      </c>
      <c r="B137" s="1">
        <v>45323</v>
      </c>
      <c r="C137" s="13" t="s">
        <v>19</v>
      </c>
      <c r="D137" s="13" t="s">
        <v>15</v>
      </c>
      <c r="E137" s="13" t="s">
        <v>12</v>
      </c>
      <c r="F137">
        <v>15</v>
      </c>
      <c r="G137">
        <v>1450.28</v>
      </c>
      <c r="H137">
        <v>21754.2</v>
      </c>
    </row>
    <row r="138" spans="1:8" x14ac:dyDescent="0.25">
      <c r="A138">
        <v>1137</v>
      </c>
      <c r="B138" s="1">
        <v>45380</v>
      </c>
      <c r="C138" s="13" t="s">
        <v>8</v>
      </c>
      <c r="D138" s="13" t="s">
        <v>9</v>
      </c>
      <c r="E138" s="13" t="s">
        <v>12</v>
      </c>
      <c r="F138">
        <v>15</v>
      </c>
      <c r="G138">
        <v>492.75</v>
      </c>
      <c r="H138">
        <v>7391.25</v>
      </c>
    </row>
    <row r="139" spans="1:8" x14ac:dyDescent="0.25">
      <c r="A139">
        <v>1138</v>
      </c>
      <c r="B139" s="1">
        <v>45329</v>
      </c>
      <c r="C139" s="13" t="s">
        <v>19</v>
      </c>
      <c r="D139" s="13" t="s">
        <v>9</v>
      </c>
      <c r="E139" s="13" t="s">
        <v>21</v>
      </c>
      <c r="F139">
        <v>6</v>
      </c>
      <c r="G139">
        <v>770.38</v>
      </c>
      <c r="H139">
        <v>4622.28</v>
      </c>
    </row>
    <row r="140" spans="1:8" x14ac:dyDescent="0.25">
      <c r="A140">
        <v>1139</v>
      </c>
      <c r="B140" s="1">
        <v>45618</v>
      </c>
      <c r="C140" s="13" t="s">
        <v>8</v>
      </c>
      <c r="D140" s="13" t="s">
        <v>18</v>
      </c>
      <c r="E140" s="13" t="s">
        <v>12</v>
      </c>
      <c r="F140">
        <v>11</v>
      </c>
      <c r="G140">
        <v>868.03</v>
      </c>
      <c r="H140">
        <v>9548.33</v>
      </c>
    </row>
    <row r="141" spans="1:8" x14ac:dyDescent="0.25">
      <c r="A141">
        <v>1140</v>
      </c>
      <c r="B141" s="1">
        <v>45603</v>
      </c>
      <c r="C141" s="13" t="s">
        <v>19</v>
      </c>
      <c r="D141" s="13" t="s">
        <v>15</v>
      </c>
      <c r="E141" s="13" t="s">
        <v>14</v>
      </c>
      <c r="F141">
        <v>5</v>
      </c>
      <c r="G141">
        <v>421.42</v>
      </c>
      <c r="H141">
        <v>2107.1</v>
      </c>
    </row>
    <row r="142" spans="1:8" x14ac:dyDescent="0.25">
      <c r="A142">
        <v>1141</v>
      </c>
      <c r="B142" s="1">
        <v>45497</v>
      </c>
      <c r="C142" s="13" t="s">
        <v>13</v>
      </c>
      <c r="D142" s="13" t="s">
        <v>20</v>
      </c>
      <c r="E142" s="13" t="s">
        <v>10</v>
      </c>
      <c r="F142">
        <v>18</v>
      </c>
      <c r="G142">
        <v>1333.77</v>
      </c>
      <c r="H142">
        <v>24007.86</v>
      </c>
    </row>
    <row r="143" spans="1:8" x14ac:dyDescent="0.25">
      <c r="A143">
        <v>1142</v>
      </c>
      <c r="B143" s="1">
        <v>45652</v>
      </c>
      <c r="C143" s="13" t="s">
        <v>11</v>
      </c>
      <c r="D143" s="13" t="s">
        <v>9</v>
      </c>
      <c r="E143" s="13" t="s">
        <v>10</v>
      </c>
      <c r="F143">
        <v>15</v>
      </c>
      <c r="G143">
        <v>1325.94</v>
      </c>
      <c r="H143">
        <v>19889.099999999999</v>
      </c>
    </row>
    <row r="144" spans="1:8" x14ac:dyDescent="0.25">
      <c r="A144">
        <v>1143</v>
      </c>
      <c r="B144" s="1">
        <v>45335</v>
      </c>
      <c r="C144" s="13" t="s">
        <v>17</v>
      </c>
      <c r="D144" s="13" t="s">
        <v>9</v>
      </c>
      <c r="E144" s="13" t="s">
        <v>16</v>
      </c>
      <c r="F144">
        <v>10</v>
      </c>
      <c r="G144">
        <v>973.14</v>
      </c>
      <c r="H144">
        <v>9731.4</v>
      </c>
    </row>
    <row r="145" spans="1:8" x14ac:dyDescent="0.25">
      <c r="A145">
        <v>1144</v>
      </c>
      <c r="B145" s="1">
        <v>45315</v>
      </c>
      <c r="C145" s="13" t="s">
        <v>17</v>
      </c>
      <c r="D145" s="13" t="s">
        <v>20</v>
      </c>
      <c r="E145" s="13" t="s">
        <v>16</v>
      </c>
      <c r="F145">
        <v>16</v>
      </c>
      <c r="G145">
        <v>740.77</v>
      </c>
      <c r="H145">
        <v>11852.32</v>
      </c>
    </row>
    <row r="146" spans="1:8" x14ac:dyDescent="0.25">
      <c r="A146">
        <v>1145</v>
      </c>
      <c r="B146" s="1">
        <v>45456</v>
      </c>
      <c r="C146" s="13" t="s">
        <v>19</v>
      </c>
      <c r="D146" s="13" t="s">
        <v>15</v>
      </c>
      <c r="E146" s="13" t="s">
        <v>16</v>
      </c>
      <c r="F146">
        <v>18</v>
      </c>
      <c r="G146">
        <v>1148.7</v>
      </c>
      <c r="H146">
        <v>20676.599999999999</v>
      </c>
    </row>
    <row r="147" spans="1:8" x14ac:dyDescent="0.25">
      <c r="A147">
        <v>1146</v>
      </c>
      <c r="B147" s="1">
        <v>45374</v>
      </c>
      <c r="C147" s="13" t="s">
        <v>17</v>
      </c>
      <c r="D147" s="13" t="s">
        <v>9</v>
      </c>
      <c r="E147" s="13" t="s">
        <v>14</v>
      </c>
      <c r="F147">
        <v>7</v>
      </c>
      <c r="G147">
        <v>1461.8</v>
      </c>
      <c r="H147">
        <v>10232.6</v>
      </c>
    </row>
    <row r="148" spans="1:8" x14ac:dyDescent="0.25">
      <c r="A148">
        <v>1147</v>
      </c>
      <c r="B148" s="1">
        <v>45501</v>
      </c>
      <c r="C148" s="13" t="s">
        <v>13</v>
      </c>
      <c r="D148" s="13" t="s">
        <v>18</v>
      </c>
      <c r="E148" s="13" t="s">
        <v>12</v>
      </c>
      <c r="F148">
        <v>7</v>
      </c>
      <c r="G148">
        <v>944.42</v>
      </c>
      <c r="H148">
        <v>6610.94</v>
      </c>
    </row>
    <row r="149" spans="1:8" x14ac:dyDescent="0.25">
      <c r="A149">
        <v>1148</v>
      </c>
      <c r="B149" s="1">
        <v>45505</v>
      </c>
      <c r="C149" s="13" t="s">
        <v>19</v>
      </c>
      <c r="D149" s="13" t="s">
        <v>20</v>
      </c>
      <c r="E149" s="13" t="s">
        <v>14</v>
      </c>
      <c r="F149">
        <v>19</v>
      </c>
      <c r="G149">
        <v>717.68</v>
      </c>
      <c r="H149">
        <v>13635.92</v>
      </c>
    </row>
    <row r="150" spans="1:8" x14ac:dyDescent="0.25">
      <c r="A150">
        <v>1149</v>
      </c>
      <c r="B150" s="1">
        <v>45293</v>
      </c>
      <c r="C150" s="13" t="s">
        <v>19</v>
      </c>
      <c r="D150" s="13" t="s">
        <v>9</v>
      </c>
      <c r="E150" s="13" t="s">
        <v>10</v>
      </c>
      <c r="F150">
        <v>1</v>
      </c>
      <c r="G150">
        <v>852.33</v>
      </c>
      <c r="H150">
        <v>852.33</v>
      </c>
    </row>
    <row r="151" spans="1:8" x14ac:dyDescent="0.25">
      <c r="A151">
        <v>1150</v>
      </c>
      <c r="B151" s="1">
        <v>45544</v>
      </c>
      <c r="C151" s="13" t="s">
        <v>8</v>
      </c>
      <c r="D151" s="13" t="s">
        <v>18</v>
      </c>
      <c r="E151" s="13" t="s">
        <v>14</v>
      </c>
      <c r="F151">
        <v>1</v>
      </c>
      <c r="G151">
        <v>1096.92</v>
      </c>
      <c r="H151">
        <v>1096.92</v>
      </c>
    </row>
    <row r="152" spans="1:8" x14ac:dyDescent="0.25">
      <c r="A152">
        <v>1151</v>
      </c>
      <c r="B152" s="1">
        <v>45350</v>
      </c>
      <c r="C152" s="13" t="s">
        <v>8</v>
      </c>
      <c r="D152" s="13" t="s">
        <v>15</v>
      </c>
      <c r="E152" s="13" t="s">
        <v>21</v>
      </c>
      <c r="F152">
        <v>9</v>
      </c>
      <c r="G152">
        <v>489.68</v>
      </c>
      <c r="H152">
        <v>4407.12</v>
      </c>
    </row>
    <row r="153" spans="1:8" x14ac:dyDescent="0.25">
      <c r="A153">
        <v>1152</v>
      </c>
      <c r="B153" s="1">
        <v>45474</v>
      </c>
      <c r="C153" s="13" t="s">
        <v>11</v>
      </c>
      <c r="D153" s="13" t="s">
        <v>9</v>
      </c>
      <c r="E153" s="13" t="s">
        <v>12</v>
      </c>
      <c r="F153">
        <v>12</v>
      </c>
      <c r="G153">
        <v>1496.1</v>
      </c>
      <c r="H153">
        <v>17953.2</v>
      </c>
    </row>
    <row r="154" spans="1:8" x14ac:dyDescent="0.25">
      <c r="A154">
        <v>1153</v>
      </c>
      <c r="B154" s="1">
        <v>45395</v>
      </c>
      <c r="C154" s="13" t="s">
        <v>8</v>
      </c>
      <c r="D154" s="13" t="s">
        <v>9</v>
      </c>
      <c r="E154" s="13" t="s">
        <v>10</v>
      </c>
      <c r="F154">
        <v>11</v>
      </c>
      <c r="G154">
        <v>1214.54</v>
      </c>
      <c r="H154">
        <v>13359.94</v>
      </c>
    </row>
    <row r="155" spans="1:8" x14ac:dyDescent="0.25">
      <c r="A155">
        <v>1154</v>
      </c>
      <c r="B155" s="1">
        <v>45473</v>
      </c>
      <c r="C155" s="13" t="s">
        <v>19</v>
      </c>
      <c r="D155" s="13" t="s">
        <v>9</v>
      </c>
      <c r="E155" s="13" t="s">
        <v>16</v>
      </c>
      <c r="F155">
        <v>8</v>
      </c>
      <c r="G155">
        <v>1142.6400000000001</v>
      </c>
      <c r="H155">
        <v>9141.1200000000008</v>
      </c>
    </row>
    <row r="156" spans="1:8" x14ac:dyDescent="0.25">
      <c r="A156">
        <v>1155</v>
      </c>
      <c r="B156" s="1">
        <v>45603</v>
      </c>
      <c r="C156" s="13" t="s">
        <v>11</v>
      </c>
      <c r="D156" s="13" t="s">
        <v>15</v>
      </c>
      <c r="E156" s="13" t="s">
        <v>12</v>
      </c>
      <c r="F156">
        <v>6</v>
      </c>
      <c r="G156">
        <v>1236.58</v>
      </c>
      <c r="H156">
        <v>7419.48</v>
      </c>
    </row>
    <row r="157" spans="1:8" x14ac:dyDescent="0.25">
      <c r="A157">
        <v>1156</v>
      </c>
      <c r="B157" s="1">
        <v>45477</v>
      </c>
      <c r="C157" s="13" t="s">
        <v>19</v>
      </c>
      <c r="D157" s="13" t="s">
        <v>15</v>
      </c>
      <c r="E157" s="13" t="s">
        <v>10</v>
      </c>
      <c r="F157">
        <v>9</v>
      </c>
      <c r="G157">
        <v>362.9</v>
      </c>
      <c r="H157">
        <v>3266.1</v>
      </c>
    </row>
    <row r="158" spans="1:8" x14ac:dyDescent="0.25">
      <c r="A158">
        <v>1157</v>
      </c>
      <c r="B158" s="1">
        <v>45467</v>
      </c>
      <c r="C158" s="13" t="s">
        <v>8</v>
      </c>
      <c r="D158" s="13" t="s">
        <v>9</v>
      </c>
      <c r="E158" s="13" t="s">
        <v>16</v>
      </c>
      <c r="F158">
        <v>6</v>
      </c>
      <c r="G158">
        <v>435.69</v>
      </c>
      <c r="H158">
        <v>2614.14</v>
      </c>
    </row>
    <row r="159" spans="1:8" x14ac:dyDescent="0.25">
      <c r="A159">
        <v>1158</v>
      </c>
      <c r="B159" s="1">
        <v>45361</v>
      </c>
      <c r="C159" s="13" t="s">
        <v>13</v>
      </c>
      <c r="D159" s="13" t="s">
        <v>15</v>
      </c>
      <c r="E159" s="13" t="s">
        <v>16</v>
      </c>
      <c r="F159">
        <v>6</v>
      </c>
      <c r="G159">
        <v>174.51</v>
      </c>
      <c r="H159">
        <v>1047.06</v>
      </c>
    </row>
    <row r="160" spans="1:8" x14ac:dyDescent="0.25">
      <c r="A160">
        <v>1159</v>
      </c>
      <c r="B160" s="1">
        <v>45404</v>
      </c>
      <c r="C160" s="13" t="s">
        <v>11</v>
      </c>
      <c r="D160" s="13" t="s">
        <v>20</v>
      </c>
      <c r="E160" s="13" t="s">
        <v>14</v>
      </c>
      <c r="F160">
        <v>2</v>
      </c>
      <c r="G160">
        <v>59.1</v>
      </c>
      <c r="H160">
        <v>118.2</v>
      </c>
    </row>
    <row r="161" spans="1:8" x14ac:dyDescent="0.25">
      <c r="A161">
        <v>1160</v>
      </c>
      <c r="B161" s="1">
        <v>45621</v>
      </c>
      <c r="C161" s="13" t="s">
        <v>13</v>
      </c>
      <c r="D161" s="13" t="s">
        <v>18</v>
      </c>
      <c r="E161" s="13" t="s">
        <v>10</v>
      </c>
      <c r="F161">
        <v>7</v>
      </c>
      <c r="G161">
        <v>533.47</v>
      </c>
      <c r="H161">
        <v>3734.29</v>
      </c>
    </row>
    <row r="162" spans="1:8" x14ac:dyDescent="0.25">
      <c r="A162">
        <v>1161</v>
      </c>
      <c r="B162" s="1">
        <v>45579</v>
      </c>
      <c r="C162" s="13" t="s">
        <v>19</v>
      </c>
      <c r="D162" s="13" t="s">
        <v>9</v>
      </c>
      <c r="E162" s="13" t="s">
        <v>10</v>
      </c>
      <c r="F162">
        <v>17</v>
      </c>
      <c r="G162">
        <v>135.49</v>
      </c>
      <c r="H162">
        <v>2303.33</v>
      </c>
    </row>
    <row r="163" spans="1:8" x14ac:dyDescent="0.25">
      <c r="A163">
        <v>1162</v>
      </c>
      <c r="B163" s="1">
        <v>45543</v>
      </c>
      <c r="C163" s="13" t="s">
        <v>8</v>
      </c>
      <c r="D163" s="13" t="s">
        <v>20</v>
      </c>
      <c r="E163" s="13" t="s">
        <v>14</v>
      </c>
      <c r="F163">
        <v>9</v>
      </c>
      <c r="G163">
        <v>350.99</v>
      </c>
      <c r="H163">
        <v>3158.91</v>
      </c>
    </row>
    <row r="164" spans="1:8" x14ac:dyDescent="0.25">
      <c r="A164">
        <v>1163</v>
      </c>
      <c r="B164" s="1">
        <v>45507</v>
      </c>
      <c r="C164" s="13" t="s">
        <v>13</v>
      </c>
      <c r="D164" s="13" t="s">
        <v>18</v>
      </c>
      <c r="E164" s="13" t="s">
        <v>14</v>
      </c>
      <c r="F164">
        <v>17</v>
      </c>
      <c r="G164">
        <v>1180.75</v>
      </c>
      <c r="H164">
        <v>20072.75</v>
      </c>
    </row>
    <row r="165" spans="1:8" x14ac:dyDescent="0.25">
      <c r="A165">
        <v>1164</v>
      </c>
      <c r="B165" s="1">
        <v>45528</v>
      </c>
      <c r="C165" s="13" t="s">
        <v>17</v>
      </c>
      <c r="D165" s="13" t="s">
        <v>18</v>
      </c>
      <c r="E165" s="13" t="s">
        <v>16</v>
      </c>
      <c r="F165">
        <v>11</v>
      </c>
      <c r="G165">
        <v>1127.8800000000001</v>
      </c>
      <c r="H165">
        <v>12406.68</v>
      </c>
    </row>
    <row r="166" spans="1:8" x14ac:dyDescent="0.25">
      <c r="A166">
        <v>1165</v>
      </c>
      <c r="B166" s="1">
        <v>45352</v>
      </c>
      <c r="C166" s="13" t="s">
        <v>8</v>
      </c>
      <c r="D166" s="13" t="s">
        <v>15</v>
      </c>
      <c r="E166" s="13" t="s">
        <v>21</v>
      </c>
      <c r="F166">
        <v>19</v>
      </c>
      <c r="G166">
        <v>582.25</v>
      </c>
      <c r="H166">
        <v>11062.75</v>
      </c>
    </row>
    <row r="167" spans="1:8" x14ac:dyDescent="0.25">
      <c r="A167">
        <v>1166</v>
      </c>
      <c r="B167" s="1">
        <v>45432</v>
      </c>
      <c r="C167" s="13" t="s">
        <v>11</v>
      </c>
      <c r="D167" s="13" t="s">
        <v>20</v>
      </c>
      <c r="E167" s="13" t="s">
        <v>14</v>
      </c>
      <c r="F167">
        <v>7</v>
      </c>
      <c r="G167">
        <v>689.25</v>
      </c>
      <c r="H167">
        <v>4824.75</v>
      </c>
    </row>
    <row r="168" spans="1:8" x14ac:dyDescent="0.25">
      <c r="A168">
        <v>1167</v>
      </c>
      <c r="B168" s="1">
        <v>45443</v>
      </c>
      <c r="C168" s="13" t="s">
        <v>17</v>
      </c>
      <c r="D168" s="13" t="s">
        <v>15</v>
      </c>
      <c r="E168" s="13" t="s">
        <v>16</v>
      </c>
      <c r="F168">
        <v>18</v>
      </c>
      <c r="G168">
        <v>578.67999999999995</v>
      </c>
      <c r="H168">
        <v>10416.24</v>
      </c>
    </row>
    <row r="169" spans="1:8" x14ac:dyDescent="0.25">
      <c r="A169">
        <v>1168</v>
      </c>
      <c r="B169" s="1">
        <v>45528</v>
      </c>
      <c r="C169" s="13" t="s">
        <v>8</v>
      </c>
      <c r="D169" s="13" t="s">
        <v>9</v>
      </c>
      <c r="E169" s="13" t="s">
        <v>12</v>
      </c>
      <c r="F169">
        <v>9</v>
      </c>
      <c r="G169">
        <v>292.83999999999997</v>
      </c>
      <c r="H169">
        <v>2635.56</v>
      </c>
    </row>
    <row r="170" spans="1:8" x14ac:dyDescent="0.25">
      <c r="A170">
        <v>1169</v>
      </c>
      <c r="B170" s="1">
        <v>45347</v>
      </c>
      <c r="C170" s="13" t="s">
        <v>11</v>
      </c>
      <c r="D170" s="13" t="s">
        <v>9</v>
      </c>
      <c r="E170" s="13" t="s">
        <v>16</v>
      </c>
      <c r="F170">
        <v>16</v>
      </c>
      <c r="G170">
        <v>1469.49</v>
      </c>
      <c r="H170">
        <v>23511.84</v>
      </c>
    </row>
    <row r="171" spans="1:8" x14ac:dyDescent="0.25">
      <c r="A171">
        <v>1170</v>
      </c>
      <c r="B171" s="1">
        <v>45292</v>
      </c>
      <c r="C171" s="13" t="s">
        <v>11</v>
      </c>
      <c r="D171" s="13" t="s">
        <v>20</v>
      </c>
      <c r="E171" s="13" t="s">
        <v>14</v>
      </c>
      <c r="F171">
        <v>15</v>
      </c>
      <c r="G171">
        <v>1129.0899999999999</v>
      </c>
      <c r="H171">
        <v>16936.349999999999</v>
      </c>
    </row>
    <row r="172" spans="1:8" x14ac:dyDescent="0.25">
      <c r="A172">
        <v>1171</v>
      </c>
      <c r="B172" s="1">
        <v>45399</v>
      </c>
      <c r="C172" s="13" t="s">
        <v>8</v>
      </c>
      <c r="D172" s="13" t="s">
        <v>15</v>
      </c>
      <c r="E172" s="13" t="s">
        <v>21</v>
      </c>
      <c r="F172">
        <v>12</v>
      </c>
      <c r="G172">
        <v>976.21</v>
      </c>
      <c r="H172">
        <v>11714.52</v>
      </c>
    </row>
    <row r="173" spans="1:8" x14ac:dyDescent="0.25">
      <c r="A173">
        <v>1172</v>
      </c>
      <c r="B173" s="1">
        <v>45309</v>
      </c>
      <c r="C173" s="13" t="s">
        <v>17</v>
      </c>
      <c r="D173" s="13" t="s">
        <v>15</v>
      </c>
      <c r="E173" s="13" t="s">
        <v>12</v>
      </c>
      <c r="F173">
        <v>10</v>
      </c>
      <c r="G173">
        <v>850.17</v>
      </c>
      <c r="H173">
        <v>8501.6999999999989</v>
      </c>
    </row>
    <row r="174" spans="1:8" x14ac:dyDescent="0.25">
      <c r="A174">
        <v>1173</v>
      </c>
      <c r="B174" s="1">
        <v>45404</v>
      </c>
      <c r="C174" s="13" t="s">
        <v>8</v>
      </c>
      <c r="D174" s="13" t="s">
        <v>18</v>
      </c>
      <c r="E174" s="13" t="s">
        <v>21</v>
      </c>
      <c r="F174">
        <v>18</v>
      </c>
      <c r="G174">
        <v>1103.3800000000001</v>
      </c>
      <c r="H174">
        <v>19860.84</v>
      </c>
    </row>
    <row r="175" spans="1:8" x14ac:dyDescent="0.25">
      <c r="A175">
        <v>1174</v>
      </c>
      <c r="B175" s="1">
        <v>45589</v>
      </c>
      <c r="C175" s="13" t="s">
        <v>17</v>
      </c>
      <c r="D175" s="13" t="s">
        <v>18</v>
      </c>
      <c r="E175" s="13" t="s">
        <v>10</v>
      </c>
      <c r="F175">
        <v>8</v>
      </c>
      <c r="G175">
        <v>1314.38</v>
      </c>
      <c r="H175">
        <v>10515.04</v>
      </c>
    </row>
    <row r="176" spans="1:8" x14ac:dyDescent="0.25">
      <c r="A176">
        <v>1175</v>
      </c>
      <c r="B176" s="1">
        <v>45295</v>
      </c>
      <c r="C176" s="13" t="s">
        <v>19</v>
      </c>
      <c r="D176" s="13" t="s">
        <v>18</v>
      </c>
      <c r="E176" s="13" t="s">
        <v>10</v>
      </c>
      <c r="F176">
        <v>12</v>
      </c>
      <c r="G176">
        <v>520.41999999999996</v>
      </c>
      <c r="H176">
        <v>6245.0399999999991</v>
      </c>
    </row>
    <row r="177" spans="1:8" x14ac:dyDescent="0.25">
      <c r="A177">
        <v>1176</v>
      </c>
      <c r="B177" s="1">
        <v>45294</v>
      </c>
      <c r="C177" s="13" t="s">
        <v>19</v>
      </c>
      <c r="D177" s="13" t="s">
        <v>15</v>
      </c>
      <c r="E177" s="13" t="s">
        <v>14</v>
      </c>
      <c r="F177">
        <v>7</v>
      </c>
      <c r="G177">
        <v>1134.45</v>
      </c>
      <c r="H177">
        <v>7941.1500000000005</v>
      </c>
    </row>
    <row r="178" spans="1:8" x14ac:dyDescent="0.25">
      <c r="A178">
        <v>1177</v>
      </c>
      <c r="B178" s="1">
        <v>45548</v>
      </c>
      <c r="C178" s="13" t="s">
        <v>11</v>
      </c>
      <c r="D178" s="13" t="s">
        <v>15</v>
      </c>
      <c r="E178" s="13" t="s">
        <v>16</v>
      </c>
      <c r="F178">
        <v>2</v>
      </c>
      <c r="G178">
        <v>676.64</v>
      </c>
      <c r="H178">
        <v>1353.28</v>
      </c>
    </row>
    <row r="179" spans="1:8" x14ac:dyDescent="0.25">
      <c r="A179">
        <v>1178</v>
      </c>
      <c r="B179" s="1">
        <v>45467</v>
      </c>
      <c r="C179" s="13" t="s">
        <v>17</v>
      </c>
      <c r="D179" s="13" t="s">
        <v>20</v>
      </c>
      <c r="E179" s="13" t="s">
        <v>21</v>
      </c>
      <c r="F179">
        <v>17</v>
      </c>
      <c r="G179">
        <v>498.56</v>
      </c>
      <c r="H179">
        <v>8475.52</v>
      </c>
    </row>
    <row r="180" spans="1:8" x14ac:dyDescent="0.25">
      <c r="A180">
        <v>1179</v>
      </c>
      <c r="B180" s="1">
        <v>45580</v>
      </c>
      <c r="C180" s="13" t="s">
        <v>11</v>
      </c>
      <c r="D180" s="13" t="s">
        <v>15</v>
      </c>
      <c r="E180" s="13" t="s">
        <v>10</v>
      </c>
      <c r="F180">
        <v>5</v>
      </c>
      <c r="G180">
        <v>376.18</v>
      </c>
      <c r="H180">
        <v>1880.9</v>
      </c>
    </row>
    <row r="181" spans="1:8" x14ac:dyDescent="0.25">
      <c r="A181">
        <v>1180</v>
      </c>
      <c r="B181" s="1">
        <v>45599</v>
      </c>
      <c r="C181" s="13" t="s">
        <v>13</v>
      </c>
      <c r="D181" s="13" t="s">
        <v>15</v>
      </c>
      <c r="E181" s="13" t="s">
        <v>14</v>
      </c>
      <c r="F181">
        <v>16</v>
      </c>
      <c r="G181">
        <v>843.06</v>
      </c>
      <c r="H181">
        <v>13488.96</v>
      </c>
    </row>
    <row r="182" spans="1:8" x14ac:dyDescent="0.25">
      <c r="A182">
        <v>1181</v>
      </c>
      <c r="B182" s="1">
        <v>45492</v>
      </c>
      <c r="C182" s="13" t="s">
        <v>13</v>
      </c>
      <c r="D182" s="13" t="s">
        <v>20</v>
      </c>
      <c r="E182" s="13" t="s">
        <v>12</v>
      </c>
      <c r="F182">
        <v>11</v>
      </c>
      <c r="G182">
        <v>1454.25</v>
      </c>
      <c r="H182">
        <v>15996.75</v>
      </c>
    </row>
    <row r="183" spans="1:8" x14ac:dyDescent="0.25">
      <c r="A183">
        <v>1182</v>
      </c>
      <c r="B183" s="1">
        <v>45372</v>
      </c>
      <c r="C183" s="13" t="s">
        <v>8</v>
      </c>
      <c r="D183" s="13" t="s">
        <v>18</v>
      </c>
      <c r="E183" s="13" t="s">
        <v>12</v>
      </c>
      <c r="F183">
        <v>13</v>
      </c>
      <c r="G183">
        <v>1477.61</v>
      </c>
      <c r="H183">
        <v>19208.93</v>
      </c>
    </row>
    <row r="184" spans="1:8" x14ac:dyDescent="0.25">
      <c r="A184">
        <v>1183</v>
      </c>
      <c r="B184" s="1">
        <v>45472</v>
      </c>
      <c r="C184" s="13" t="s">
        <v>19</v>
      </c>
      <c r="D184" s="13" t="s">
        <v>20</v>
      </c>
      <c r="E184" s="13" t="s">
        <v>12</v>
      </c>
      <c r="F184">
        <v>14</v>
      </c>
      <c r="G184">
        <v>1133.6300000000001</v>
      </c>
      <c r="H184">
        <v>15870.82</v>
      </c>
    </row>
    <row r="185" spans="1:8" x14ac:dyDescent="0.25">
      <c r="A185">
        <v>1184</v>
      </c>
      <c r="B185" s="1">
        <v>45549</v>
      </c>
      <c r="C185" s="13" t="s">
        <v>19</v>
      </c>
      <c r="D185" s="13" t="s">
        <v>15</v>
      </c>
      <c r="E185" s="13" t="s">
        <v>14</v>
      </c>
      <c r="F185">
        <v>5</v>
      </c>
      <c r="G185">
        <v>1190.73</v>
      </c>
      <c r="H185">
        <v>5953.65</v>
      </c>
    </row>
    <row r="186" spans="1:8" x14ac:dyDescent="0.25">
      <c r="A186">
        <v>1185</v>
      </c>
      <c r="B186" s="1">
        <v>45392</v>
      </c>
      <c r="C186" s="13" t="s">
        <v>19</v>
      </c>
      <c r="D186" s="13" t="s">
        <v>20</v>
      </c>
      <c r="E186" s="13" t="s">
        <v>12</v>
      </c>
      <c r="F186">
        <v>6</v>
      </c>
      <c r="G186">
        <v>739.31</v>
      </c>
      <c r="H186">
        <v>4435.8599999999997</v>
      </c>
    </row>
    <row r="187" spans="1:8" x14ac:dyDescent="0.25">
      <c r="A187">
        <v>1186</v>
      </c>
      <c r="B187" s="1">
        <v>45622</v>
      </c>
      <c r="C187" s="13" t="s">
        <v>11</v>
      </c>
      <c r="D187" s="13" t="s">
        <v>20</v>
      </c>
      <c r="E187" s="13" t="s">
        <v>10</v>
      </c>
      <c r="F187">
        <v>17</v>
      </c>
      <c r="G187">
        <v>599.96</v>
      </c>
      <c r="H187">
        <v>10199.32</v>
      </c>
    </row>
    <row r="188" spans="1:8" x14ac:dyDescent="0.25">
      <c r="A188">
        <v>1187</v>
      </c>
      <c r="B188" s="1">
        <v>45434</v>
      </c>
      <c r="C188" s="13" t="s">
        <v>11</v>
      </c>
      <c r="D188" s="13" t="s">
        <v>18</v>
      </c>
      <c r="E188" s="13" t="s">
        <v>10</v>
      </c>
      <c r="F188">
        <v>10</v>
      </c>
      <c r="G188">
        <v>736.48</v>
      </c>
      <c r="H188">
        <v>7364.8</v>
      </c>
    </row>
    <row r="189" spans="1:8" x14ac:dyDescent="0.25">
      <c r="A189">
        <v>1188</v>
      </c>
      <c r="B189" s="1">
        <v>45497</v>
      </c>
      <c r="C189" s="13" t="s">
        <v>13</v>
      </c>
      <c r="D189" s="13" t="s">
        <v>20</v>
      </c>
      <c r="E189" s="13" t="s">
        <v>10</v>
      </c>
      <c r="F189">
        <v>17</v>
      </c>
      <c r="G189">
        <v>1461.81</v>
      </c>
      <c r="H189">
        <v>24850.77</v>
      </c>
    </row>
    <row r="190" spans="1:8" x14ac:dyDescent="0.25">
      <c r="A190">
        <v>1189</v>
      </c>
      <c r="B190" s="1">
        <v>45452</v>
      </c>
      <c r="C190" s="13" t="s">
        <v>19</v>
      </c>
      <c r="D190" s="13" t="s">
        <v>18</v>
      </c>
      <c r="E190" s="13" t="s">
        <v>12</v>
      </c>
      <c r="F190">
        <v>1</v>
      </c>
      <c r="G190">
        <v>195.92</v>
      </c>
      <c r="H190">
        <v>195.92</v>
      </c>
    </row>
    <row r="191" spans="1:8" x14ac:dyDescent="0.25">
      <c r="A191">
        <v>1190</v>
      </c>
      <c r="B191" s="1">
        <v>45432</v>
      </c>
      <c r="C191" s="13" t="s">
        <v>8</v>
      </c>
      <c r="D191" s="13" t="s">
        <v>9</v>
      </c>
      <c r="E191" s="13" t="s">
        <v>16</v>
      </c>
      <c r="F191">
        <v>8</v>
      </c>
      <c r="G191">
        <v>1145.72</v>
      </c>
      <c r="H191">
        <v>9165.76</v>
      </c>
    </row>
    <row r="192" spans="1:8" x14ac:dyDescent="0.25">
      <c r="A192">
        <v>1191</v>
      </c>
      <c r="B192" s="1">
        <v>45502</v>
      </c>
      <c r="C192" s="13" t="s">
        <v>8</v>
      </c>
      <c r="D192" s="13" t="s">
        <v>18</v>
      </c>
      <c r="E192" s="13" t="s">
        <v>21</v>
      </c>
      <c r="F192">
        <v>17</v>
      </c>
      <c r="G192">
        <v>162.44999999999999</v>
      </c>
      <c r="H192">
        <v>2761.65</v>
      </c>
    </row>
    <row r="193" spans="1:8" x14ac:dyDescent="0.25">
      <c r="A193">
        <v>1192</v>
      </c>
      <c r="B193" s="1">
        <v>45564</v>
      </c>
      <c r="C193" s="13" t="s">
        <v>11</v>
      </c>
      <c r="D193" s="13" t="s">
        <v>18</v>
      </c>
      <c r="E193" s="13" t="s">
        <v>12</v>
      </c>
      <c r="F193">
        <v>14</v>
      </c>
      <c r="G193">
        <v>911.1</v>
      </c>
      <c r="H193">
        <v>12755.4</v>
      </c>
    </row>
    <row r="194" spans="1:8" x14ac:dyDescent="0.25">
      <c r="A194">
        <v>1193</v>
      </c>
      <c r="B194" s="1">
        <v>45597</v>
      </c>
      <c r="C194" s="13" t="s">
        <v>8</v>
      </c>
      <c r="D194" s="13" t="s">
        <v>20</v>
      </c>
      <c r="E194" s="13" t="s">
        <v>12</v>
      </c>
      <c r="F194">
        <v>6</v>
      </c>
      <c r="G194">
        <v>570</v>
      </c>
      <c r="H194">
        <v>3420</v>
      </c>
    </row>
    <row r="195" spans="1:8" x14ac:dyDescent="0.25">
      <c r="A195">
        <v>1194</v>
      </c>
      <c r="B195" s="1">
        <v>45399</v>
      </c>
      <c r="C195" s="13" t="s">
        <v>11</v>
      </c>
      <c r="D195" s="13" t="s">
        <v>15</v>
      </c>
      <c r="E195" s="13" t="s">
        <v>14</v>
      </c>
      <c r="F195">
        <v>14</v>
      </c>
      <c r="G195">
        <v>841.98</v>
      </c>
      <c r="H195">
        <v>11787.72</v>
      </c>
    </row>
    <row r="196" spans="1:8" x14ac:dyDescent="0.25">
      <c r="A196">
        <v>1195</v>
      </c>
      <c r="B196" s="1">
        <v>45632</v>
      </c>
      <c r="C196" s="13" t="s">
        <v>8</v>
      </c>
      <c r="D196" s="13" t="s">
        <v>15</v>
      </c>
      <c r="E196" s="13" t="s">
        <v>21</v>
      </c>
      <c r="F196">
        <v>2</v>
      </c>
      <c r="G196">
        <v>1302.67</v>
      </c>
      <c r="H196">
        <v>2605.34</v>
      </c>
    </row>
    <row r="197" spans="1:8" x14ac:dyDescent="0.25">
      <c r="A197">
        <v>1196</v>
      </c>
      <c r="B197" s="1">
        <v>45315</v>
      </c>
      <c r="C197" s="13" t="s">
        <v>11</v>
      </c>
      <c r="D197" s="13" t="s">
        <v>18</v>
      </c>
      <c r="E197" s="13" t="s">
        <v>21</v>
      </c>
      <c r="F197">
        <v>3</v>
      </c>
      <c r="G197">
        <v>1247.6099999999999</v>
      </c>
      <c r="H197">
        <v>3742.83</v>
      </c>
    </row>
    <row r="198" spans="1:8" x14ac:dyDescent="0.25">
      <c r="A198">
        <v>1197</v>
      </c>
      <c r="B198" s="1">
        <v>45337</v>
      </c>
      <c r="C198" s="13" t="s">
        <v>17</v>
      </c>
      <c r="D198" s="13" t="s">
        <v>18</v>
      </c>
      <c r="E198" s="13" t="s">
        <v>10</v>
      </c>
      <c r="F198">
        <v>3</v>
      </c>
      <c r="G198">
        <v>442.03</v>
      </c>
      <c r="H198">
        <v>1326.09</v>
      </c>
    </row>
    <row r="199" spans="1:8" x14ac:dyDescent="0.25">
      <c r="A199">
        <v>1198</v>
      </c>
      <c r="B199" s="1">
        <v>45415</v>
      </c>
      <c r="C199" s="13" t="s">
        <v>13</v>
      </c>
      <c r="D199" s="13" t="s">
        <v>18</v>
      </c>
      <c r="E199" s="13" t="s">
        <v>12</v>
      </c>
      <c r="F199">
        <v>1</v>
      </c>
      <c r="G199">
        <v>1354.63</v>
      </c>
      <c r="H199">
        <v>1354.63</v>
      </c>
    </row>
    <row r="200" spans="1:8" x14ac:dyDescent="0.25">
      <c r="A200">
        <v>1199</v>
      </c>
      <c r="B200" s="1">
        <v>45507</v>
      </c>
      <c r="C200" s="13" t="s">
        <v>11</v>
      </c>
      <c r="D200" s="13" t="s">
        <v>20</v>
      </c>
      <c r="E200" s="13" t="s">
        <v>10</v>
      </c>
      <c r="F200">
        <v>12</v>
      </c>
      <c r="G200">
        <v>1287.26</v>
      </c>
      <c r="H200">
        <v>15447.12</v>
      </c>
    </row>
    <row r="201" spans="1:8" x14ac:dyDescent="0.25">
      <c r="A201">
        <v>1200</v>
      </c>
      <c r="B201" s="1">
        <v>45648</v>
      </c>
      <c r="C201" s="13" t="s">
        <v>11</v>
      </c>
      <c r="D201" s="13" t="s">
        <v>15</v>
      </c>
      <c r="E201" s="13" t="s">
        <v>10</v>
      </c>
      <c r="F201">
        <v>8</v>
      </c>
      <c r="G201">
        <v>375.94</v>
      </c>
      <c r="H201">
        <v>3007.52</v>
      </c>
    </row>
    <row r="202" spans="1:8" x14ac:dyDescent="0.25">
      <c r="A202">
        <v>1201</v>
      </c>
      <c r="B202" s="1">
        <v>45599</v>
      </c>
      <c r="C202" s="13" t="s">
        <v>11</v>
      </c>
      <c r="D202" s="13" t="s">
        <v>18</v>
      </c>
      <c r="E202" s="13" t="s">
        <v>10</v>
      </c>
      <c r="F202">
        <v>14</v>
      </c>
      <c r="G202">
        <v>1205.06</v>
      </c>
      <c r="H202">
        <v>16870.84</v>
      </c>
    </row>
    <row r="203" spans="1:8" x14ac:dyDescent="0.25">
      <c r="A203">
        <v>1202</v>
      </c>
      <c r="B203" s="1">
        <v>45476</v>
      </c>
      <c r="C203" s="13" t="s">
        <v>11</v>
      </c>
      <c r="D203" s="13" t="s">
        <v>15</v>
      </c>
      <c r="E203" s="13" t="s">
        <v>21</v>
      </c>
      <c r="F203">
        <v>18</v>
      </c>
      <c r="G203">
        <v>1244.47</v>
      </c>
      <c r="H203">
        <v>22400.46</v>
      </c>
    </row>
    <row r="204" spans="1:8" x14ac:dyDescent="0.25">
      <c r="A204">
        <v>1203</v>
      </c>
      <c r="B204" s="1">
        <v>45356</v>
      </c>
      <c r="C204" s="13" t="s">
        <v>11</v>
      </c>
      <c r="D204" s="13" t="s">
        <v>9</v>
      </c>
      <c r="E204" s="13" t="s">
        <v>14</v>
      </c>
      <c r="F204">
        <v>17</v>
      </c>
      <c r="G204">
        <v>1217.47</v>
      </c>
      <c r="H204">
        <v>20696.990000000002</v>
      </c>
    </row>
    <row r="205" spans="1:8" x14ac:dyDescent="0.25">
      <c r="A205">
        <v>1204</v>
      </c>
      <c r="B205" s="1">
        <v>45491</v>
      </c>
      <c r="C205" s="13" t="s">
        <v>19</v>
      </c>
      <c r="D205" s="13" t="s">
        <v>20</v>
      </c>
      <c r="E205" s="13" t="s">
        <v>16</v>
      </c>
      <c r="F205">
        <v>4</v>
      </c>
      <c r="G205">
        <v>386.4</v>
      </c>
      <c r="H205">
        <v>1545.6</v>
      </c>
    </row>
    <row r="206" spans="1:8" x14ac:dyDescent="0.25">
      <c r="A206">
        <v>1205</v>
      </c>
      <c r="B206" s="1">
        <v>45540</v>
      </c>
      <c r="C206" s="13" t="s">
        <v>19</v>
      </c>
      <c r="D206" s="13" t="s">
        <v>20</v>
      </c>
      <c r="E206" s="13" t="s">
        <v>12</v>
      </c>
      <c r="F206">
        <v>11</v>
      </c>
      <c r="G206">
        <v>889.34</v>
      </c>
      <c r="H206">
        <v>9782.74</v>
      </c>
    </row>
    <row r="207" spans="1:8" x14ac:dyDescent="0.25">
      <c r="A207">
        <v>1206</v>
      </c>
      <c r="B207" s="1">
        <v>45550</v>
      </c>
      <c r="C207" s="13" t="s">
        <v>19</v>
      </c>
      <c r="D207" s="13" t="s">
        <v>20</v>
      </c>
      <c r="E207" s="13" t="s">
        <v>10</v>
      </c>
      <c r="F207">
        <v>9</v>
      </c>
      <c r="G207">
        <v>508.77</v>
      </c>
      <c r="H207">
        <v>4578.93</v>
      </c>
    </row>
    <row r="208" spans="1:8" x14ac:dyDescent="0.25">
      <c r="A208">
        <v>1207</v>
      </c>
      <c r="B208" s="1">
        <v>45564</v>
      </c>
      <c r="C208" s="13" t="s">
        <v>17</v>
      </c>
      <c r="D208" s="13" t="s">
        <v>15</v>
      </c>
      <c r="E208" s="13" t="s">
        <v>21</v>
      </c>
      <c r="F208">
        <v>12</v>
      </c>
      <c r="G208">
        <v>973.52</v>
      </c>
      <c r="H208">
        <v>11682.24</v>
      </c>
    </row>
    <row r="209" spans="1:8" x14ac:dyDescent="0.25">
      <c r="A209">
        <v>1208</v>
      </c>
      <c r="B209" s="1">
        <v>45446</v>
      </c>
      <c r="C209" s="13" t="s">
        <v>8</v>
      </c>
      <c r="D209" s="13" t="s">
        <v>9</v>
      </c>
      <c r="E209" s="13" t="s">
        <v>14</v>
      </c>
      <c r="F209">
        <v>5</v>
      </c>
      <c r="G209">
        <v>760.93</v>
      </c>
      <c r="H209">
        <v>3804.65</v>
      </c>
    </row>
    <row r="210" spans="1:8" x14ac:dyDescent="0.25">
      <c r="A210">
        <v>1209</v>
      </c>
      <c r="B210" s="1">
        <v>45625</v>
      </c>
      <c r="C210" s="13" t="s">
        <v>17</v>
      </c>
      <c r="D210" s="13" t="s">
        <v>20</v>
      </c>
      <c r="E210" s="13" t="s">
        <v>21</v>
      </c>
      <c r="F210">
        <v>9</v>
      </c>
      <c r="G210">
        <v>1286.44</v>
      </c>
      <c r="H210">
        <v>11577.96</v>
      </c>
    </row>
    <row r="211" spans="1:8" x14ac:dyDescent="0.25">
      <c r="A211">
        <v>1210</v>
      </c>
      <c r="B211" s="1">
        <v>45552</v>
      </c>
      <c r="C211" s="13" t="s">
        <v>17</v>
      </c>
      <c r="D211" s="13" t="s">
        <v>15</v>
      </c>
      <c r="E211" s="13" t="s">
        <v>21</v>
      </c>
      <c r="F211">
        <v>7</v>
      </c>
      <c r="G211">
        <v>445.7</v>
      </c>
      <c r="H211">
        <v>3119.9</v>
      </c>
    </row>
    <row r="212" spans="1:8" x14ac:dyDescent="0.25">
      <c r="A212">
        <v>1211</v>
      </c>
      <c r="B212" s="1">
        <v>45338</v>
      </c>
      <c r="C212" s="13" t="s">
        <v>8</v>
      </c>
      <c r="D212" s="13" t="s">
        <v>15</v>
      </c>
      <c r="E212" s="13" t="s">
        <v>21</v>
      </c>
      <c r="F212">
        <v>10</v>
      </c>
      <c r="G212">
        <v>546.29999999999995</v>
      </c>
      <c r="H212">
        <v>5463</v>
      </c>
    </row>
    <row r="213" spans="1:8" x14ac:dyDescent="0.25">
      <c r="A213">
        <v>1212</v>
      </c>
      <c r="B213" s="1">
        <v>45431</v>
      </c>
      <c r="C213" s="13" t="s">
        <v>13</v>
      </c>
      <c r="D213" s="13" t="s">
        <v>15</v>
      </c>
      <c r="E213" s="13" t="s">
        <v>12</v>
      </c>
      <c r="F213">
        <v>16</v>
      </c>
      <c r="G213">
        <v>1085.73</v>
      </c>
      <c r="H213">
        <v>17371.68</v>
      </c>
    </row>
    <row r="214" spans="1:8" x14ac:dyDescent="0.25">
      <c r="A214">
        <v>1213</v>
      </c>
      <c r="B214" s="1">
        <v>45501</v>
      </c>
      <c r="C214" s="13" t="s">
        <v>11</v>
      </c>
      <c r="D214" s="13" t="s">
        <v>20</v>
      </c>
      <c r="E214" s="13" t="s">
        <v>16</v>
      </c>
      <c r="F214">
        <v>4</v>
      </c>
      <c r="G214">
        <v>1319.34</v>
      </c>
      <c r="H214">
        <v>5277.36</v>
      </c>
    </row>
    <row r="215" spans="1:8" x14ac:dyDescent="0.25">
      <c r="A215">
        <v>1214</v>
      </c>
      <c r="B215" s="1">
        <v>45340</v>
      </c>
      <c r="C215" s="13" t="s">
        <v>8</v>
      </c>
      <c r="D215" s="13" t="s">
        <v>18</v>
      </c>
      <c r="E215" s="13" t="s">
        <v>12</v>
      </c>
      <c r="F215">
        <v>14</v>
      </c>
      <c r="G215">
        <v>1243.9100000000001</v>
      </c>
      <c r="H215">
        <v>17414.740000000002</v>
      </c>
    </row>
    <row r="216" spans="1:8" x14ac:dyDescent="0.25">
      <c r="A216">
        <v>1215</v>
      </c>
      <c r="B216" s="1">
        <v>45481</v>
      </c>
      <c r="C216" s="13" t="s">
        <v>11</v>
      </c>
      <c r="D216" s="13" t="s">
        <v>18</v>
      </c>
      <c r="E216" s="13" t="s">
        <v>14</v>
      </c>
      <c r="F216">
        <v>14</v>
      </c>
      <c r="G216">
        <v>338.96</v>
      </c>
      <c r="H216">
        <v>4745.4399999999996</v>
      </c>
    </row>
    <row r="217" spans="1:8" x14ac:dyDescent="0.25">
      <c r="A217">
        <v>1216</v>
      </c>
      <c r="B217" s="1">
        <v>45564</v>
      </c>
      <c r="C217" s="13" t="s">
        <v>19</v>
      </c>
      <c r="D217" s="13" t="s">
        <v>18</v>
      </c>
      <c r="E217" s="13" t="s">
        <v>14</v>
      </c>
      <c r="F217">
        <v>10</v>
      </c>
      <c r="G217">
        <v>361.21</v>
      </c>
      <c r="H217">
        <v>3612.1</v>
      </c>
    </row>
    <row r="218" spans="1:8" x14ac:dyDescent="0.25">
      <c r="A218">
        <v>1217</v>
      </c>
      <c r="B218" s="1">
        <v>45387</v>
      </c>
      <c r="C218" s="13" t="s">
        <v>11</v>
      </c>
      <c r="D218" s="13" t="s">
        <v>15</v>
      </c>
      <c r="E218" s="13" t="s">
        <v>16</v>
      </c>
      <c r="F218">
        <v>14</v>
      </c>
      <c r="G218">
        <v>1492.59</v>
      </c>
      <c r="H218">
        <v>20896.259999999998</v>
      </c>
    </row>
    <row r="219" spans="1:8" x14ac:dyDescent="0.25">
      <c r="A219">
        <v>1218</v>
      </c>
      <c r="B219" s="1">
        <v>45443</v>
      </c>
      <c r="C219" s="13" t="s">
        <v>8</v>
      </c>
      <c r="D219" s="13" t="s">
        <v>18</v>
      </c>
      <c r="E219" s="13" t="s">
        <v>14</v>
      </c>
      <c r="F219">
        <v>8</v>
      </c>
      <c r="G219">
        <v>217.46</v>
      </c>
      <c r="H219">
        <v>1739.68</v>
      </c>
    </row>
    <row r="220" spans="1:8" x14ac:dyDescent="0.25">
      <c r="A220">
        <v>1219</v>
      </c>
      <c r="B220" s="1">
        <v>45349</v>
      </c>
      <c r="C220" s="13" t="s">
        <v>11</v>
      </c>
      <c r="D220" s="13" t="s">
        <v>18</v>
      </c>
      <c r="E220" s="13" t="s">
        <v>10</v>
      </c>
      <c r="F220">
        <v>13</v>
      </c>
      <c r="G220">
        <v>1252.3900000000001</v>
      </c>
      <c r="H220">
        <v>16281.07</v>
      </c>
    </row>
    <row r="221" spans="1:8" x14ac:dyDescent="0.25">
      <c r="A221">
        <v>1220</v>
      </c>
      <c r="B221" s="1">
        <v>45555</v>
      </c>
      <c r="C221" s="13" t="s">
        <v>11</v>
      </c>
      <c r="D221" s="13" t="s">
        <v>15</v>
      </c>
      <c r="E221" s="13" t="s">
        <v>21</v>
      </c>
      <c r="F221">
        <v>11</v>
      </c>
      <c r="G221">
        <v>534.15</v>
      </c>
      <c r="H221">
        <v>5875.65</v>
      </c>
    </row>
    <row r="222" spans="1:8" x14ac:dyDescent="0.25">
      <c r="A222">
        <v>1221</v>
      </c>
      <c r="B222" s="1">
        <v>45567</v>
      </c>
      <c r="C222" s="13" t="s">
        <v>19</v>
      </c>
      <c r="D222" s="13" t="s">
        <v>15</v>
      </c>
      <c r="E222" s="13" t="s">
        <v>21</v>
      </c>
      <c r="F222">
        <v>9</v>
      </c>
      <c r="G222">
        <v>716.05</v>
      </c>
      <c r="H222">
        <v>6444.45</v>
      </c>
    </row>
    <row r="223" spans="1:8" x14ac:dyDescent="0.25">
      <c r="A223">
        <v>1222</v>
      </c>
      <c r="B223" s="1">
        <v>45653</v>
      </c>
      <c r="C223" s="13" t="s">
        <v>13</v>
      </c>
      <c r="D223" s="13" t="s">
        <v>18</v>
      </c>
      <c r="E223" s="13" t="s">
        <v>21</v>
      </c>
      <c r="F223">
        <v>10</v>
      </c>
      <c r="G223">
        <v>606.53</v>
      </c>
      <c r="H223">
        <v>6065.2999999999993</v>
      </c>
    </row>
    <row r="224" spans="1:8" x14ac:dyDescent="0.25">
      <c r="A224">
        <v>1223</v>
      </c>
      <c r="B224" s="1">
        <v>45471</v>
      </c>
      <c r="C224" s="13" t="s">
        <v>11</v>
      </c>
      <c r="D224" s="13" t="s">
        <v>18</v>
      </c>
      <c r="E224" s="13" t="s">
        <v>12</v>
      </c>
      <c r="F224">
        <v>7</v>
      </c>
      <c r="G224">
        <v>838.45</v>
      </c>
      <c r="H224">
        <v>5869.1500000000005</v>
      </c>
    </row>
    <row r="225" spans="1:8" x14ac:dyDescent="0.25">
      <c r="A225">
        <v>1224</v>
      </c>
      <c r="B225" s="1">
        <v>45426</v>
      </c>
      <c r="C225" s="13" t="s">
        <v>8</v>
      </c>
      <c r="D225" s="13" t="s">
        <v>9</v>
      </c>
      <c r="E225" s="13" t="s">
        <v>12</v>
      </c>
      <c r="F225">
        <v>4</v>
      </c>
      <c r="G225">
        <v>1239.9000000000001</v>
      </c>
      <c r="H225">
        <v>4959.6000000000004</v>
      </c>
    </row>
    <row r="226" spans="1:8" x14ac:dyDescent="0.25">
      <c r="A226">
        <v>1225</v>
      </c>
      <c r="B226" s="1">
        <v>45300</v>
      </c>
      <c r="C226" s="13" t="s">
        <v>8</v>
      </c>
      <c r="D226" s="13" t="s">
        <v>9</v>
      </c>
      <c r="E226" s="13" t="s">
        <v>21</v>
      </c>
      <c r="F226">
        <v>12</v>
      </c>
      <c r="G226">
        <v>60.16</v>
      </c>
      <c r="H226">
        <v>721.92</v>
      </c>
    </row>
    <row r="227" spans="1:8" x14ac:dyDescent="0.25">
      <c r="A227">
        <v>1226</v>
      </c>
      <c r="B227" s="1">
        <v>45574</v>
      </c>
      <c r="C227" s="13" t="s">
        <v>17</v>
      </c>
      <c r="D227" s="13" t="s">
        <v>18</v>
      </c>
      <c r="E227" s="13" t="s">
        <v>21</v>
      </c>
      <c r="F227">
        <v>5</v>
      </c>
      <c r="G227">
        <v>90.71</v>
      </c>
      <c r="H227">
        <v>453.55</v>
      </c>
    </row>
    <row r="228" spans="1:8" x14ac:dyDescent="0.25">
      <c r="A228">
        <v>1227</v>
      </c>
      <c r="B228" s="1">
        <v>45634</v>
      </c>
      <c r="C228" s="13" t="s">
        <v>11</v>
      </c>
      <c r="D228" s="13" t="s">
        <v>20</v>
      </c>
      <c r="E228" s="13" t="s">
        <v>10</v>
      </c>
      <c r="F228">
        <v>12</v>
      </c>
      <c r="G228">
        <v>528.64</v>
      </c>
      <c r="H228">
        <v>6343.68</v>
      </c>
    </row>
    <row r="229" spans="1:8" x14ac:dyDescent="0.25">
      <c r="A229">
        <v>1228</v>
      </c>
      <c r="B229" s="1">
        <v>45370</v>
      </c>
      <c r="C229" s="13" t="s">
        <v>17</v>
      </c>
      <c r="D229" s="13" t="s">
        <v>18</v>
      </c>
      <c r="E229" s="13" t="s">
        <v>21</v>
      </c>
      <c r="F229">
        <v>16</v>
      </c>
      <c r="G229">
        <v>1170</v>
      </c>
      <c r="H229">
        <v>18720</v>
      </c>
    </row>
    <row r="230" spans="1:8" x14ac:dyDescent="0.25">
      <c r="A230">
        <v>1229</v>
      </c>
      <c r="B230" s="1">
        <v>45526</v>
      </c>
      <c r="C230" s="13" t="s">
        <v>11</v>
      </c>
      <c r="D230" s="13" t="s">
        <v>9</v>
      </c>
      <c r="E230" s="13" t="s">
        <v>10</v>
      </c>
      <c r="F230">
        <v>9</v>
      </c>
      <c r="G230">
        <v>760.64</v>
      </c>
      <c r="H230">
        <v>6845.76</v>
      </c>
    </row>
    <row r="231" spans="1:8" x14ac:dyDescent="0.25">
      <c r="A231">
        <v>1230</v>
      </c>
      <c r="B231" s="1">
        <v>45387</v>
      </c>
      <c r="C231" s="13" t="s">
        <v>11</v>
      </c>
      <c r="D231" s="13" t="s">
        <v>20</v>
      </c>
      <c r="E231" s="13" t="s">
        <v>21</v>
      </c>
      <c r="F231">
        <v>11</v>
      </c>
      <c r="G231">
        <v>1122.76</v>
      </c>
      <c r="H231">
        <v>12350.36</v>
      </c>
    </row>
    <row r="232" spans="1:8" x14ac:dyDescent="0.25">
      <c r="A232">
        <v>1231</v>
      </c>
      <c r="B232" s="1">
        <v>45486</v>
      </c>
      <c r="C232" s="13" t="s">
        <v>11</v>
      </c>
      <c r="D232" s="13" t="s">
        <v>20</v>
      </c>
      <c r="E232" s="13" t="s">
        <v>12</v>
      </c>
      <c r="F232">
        <v>11</v>
      </c>
      <c r="G232">
        <v>327.73</v>
      </c>
      <c r="H232">
        <v>3605.03</v>
      </c>
    </row>
    <row r="233" spans="1:8" x14ac:dyDescent="0.25">
      <c r="A233">
        <v>1232</v>
      </c>
      <c r="B233" s="1">
        <v>45568</v>
      </c>
      <c r="C233" s="13" t="s">
        <v>17</v>
      </c>
      <c r="D233" s="13" t="s">
        <v>18</v>
      </c>
      <c r="E233" s="13" t="s">
        <v>12</v>
      </c>
      <c r="F233">
        <v>3</v>
      </c>
      <c r="G233">
        <v>436.57</v>
      </c>
      <c r="H233">
        <v>1309.71</v>
      </c>
    </row>
    <row r="234" spans="1:8" x14ac:dyDescent="0.25">
      <c r="A234">
        <v>1233</v>
      </c>
      <c r="B234" s="1">
        <v>45615</v>
      </c>
      <c r="C234" s="13" t="s">
        <v>13</v>
      </c>
      <c r="D234" s="13" t="s">
        <v>15</v>
      </c>
      <c r="E234" s="13" t="s">
        <v>12</v>
      </c>
      <c r="F234">
        <v>12</v>
      </c>
      <c r="G234">
        <v>301.7</v>
      </c>
      <c r="H234">
        <v>3620.4</v>
      </c>
    </row>
    <row r="235" spans="1:8" x14ac:dyDescent="0.25">
      <c r="A235">
        <v>1234</v>
      </c>
      <c r="B235" s="1">
        <v>45594</v>
      </c>
      <c r="C235" s="13" t="s">
        <v>17</v>
      </c>
      <c r="D235" s="13" t="s">
        <v>18</v>
      </c>
      <c r="E235" s="13" t="s">
        <v>16</v>
      </c>
      <c r="F235">
        <v>19</v>
      </c>
      <c r="G235">
        <v>1197.48</v>
      </c>
      <c r="H235">
        <v>22752.12</v>
      </c>
    </row>
    <row r="236" spans="1:8" x14ac:dyDescent="0.25">
      <c r="A236">
        <v>1235</v>
      </c>
      <c r="B236" s="1">
        <v>45347</v>
      </c>
      <c r="C236" s="13" t="s">
        <v>11</v>
      </c>
      <c r="D236" s="13" t="s">
        <v>18</v>
      </c>
      <c r="E236" s="13" t="s">
        <v>12</v>
      </c>
      <c r="F236">
        <v>9</v>
      </c>
      <c r="G236">
        <v>1135.45</v>
      </c>
      <c r="H236">
        <v>10219.049999999999</v>
      </c>
    </row>
    <row r="237" spans="1:8" x14ac:dyDescent="0.25">
      <c r="A237">
        <v>1236</v>
      </c>
      <c r="B237" s="1">
        <v>45553</v>
      </c>
      <c r="C237" s="13" t="s">
        <v>11</v>
      </c>
      <c r="D237" s="13" t="s">
        <v>15</v>
      </c>
      <c r="E237" s="13" t="s">
        <v>14</v>
      </c>
      <c r="F237">
        <v>8</v>
      </c>
      <c r="G237">
        <v>94.67</v>
      </c>
      <c r="H237">
        <v>757.36</v>
      </c>
    </row>
    <row r="238" spans="1:8" x14ac:dyDescent="0.25">
      <c r="A238">
        <v>1237</v>
      </c>
      <c r="B238" s="1">
        <v>45318</v>
      </c>
      <c r="C238" s="13" t="s">
        <v>11</v>
      </c>
      <c r="D238" s="13" t="s">
        <v>18</v>
      </c>
      <c r="E238" s="13" t="s">
        <v>14</v>
      </c>
      <c r="F238">
        <v>14</v>
      </c>
      <c r="G238">
        <v>1109.17</v>
      </c>
      <c r="H238">
        <v>15528.38</v>
      </c>
    </row>
    <row r="239" spans="1:8" x14ac:dyDescent="0.25">
      <c r="A239">
        <v>1238</v>
      </c>
      <c r="B239" s="1">
        <v>45384</v>
      </c>
      <c r="C239" s="13" t="s">
        <v>8</v>
      </c>
      <c r="D239" s="13" t="s">
        <v>9</v>
      </c>
      <c r="E239" s="13" t="s">
        <v>16</v>
      </c>
      <c r="F239">
        <v>8</v>
      </c>
      <c r="G239">
        <v>1032.71</v>
      </c>
      <c r="H239">
        <v>8261.68</v>
      </c>
    </row>
    <row r="240" spans="1:8" x14ac:dyDescent="0.25">
      <c r="A240">
        <v>1239</v>
      </c>
      <c r="B240" s="1">
        <v>45566</v>
      </c>
      <c r="C240" s="13" t="s">
        <v>13</v>
      </c>
      <c r="D240" s="13" t="s">
        <v>9</v>
      </c>
      <c r="E240" s="13" t="s">
        <v>14</v>
      </c>
      <c r="F240">
        <v>5</v>
      </c>
      <c r="G240">
        <v>1018</v>
      </c>
      <c r="H240">
        <v>5090</v>
      </c>
    </row>
    <row r="241" spans="1:8" x14ac:dyDescent="0.25">
      <c r="A241">
        <v>1240</v>
      </c>
      <c r="B241" s="1">
        <v>45419</v>
      </c>
      <c r="C241" s="13" t="s">
        <v>8</v>
      </c>
      <c r="D241" s="13" t="s">
        <v>9</v>
      </c>
      <c r="E241" s="13" t="s">
        <v>16</v>
      </c>
      <c r="F241">
        <v>17</v>
      </c>
      <c r="G241">
        <v>459.4</v>
      </c>
      <c r="H241">
        <v>7809.7999999999993</v>
      </c>
    </row>
    <row r="242" spans="1:8" x14ac:dyDescent="0.25">
      <c r="A242">
        <v>1241</v>
      </c>
      <c r="B242" s="1">
        <v>45565</v>
      </c>
      <c r="C242" s="13" t="s">
        <v>17</v>
      </c>
      <c r="D242" s="13" t="s">
        <v>9</v>
      </c>
      <c r="E242" s="13" t="s">
        <v>12</v>
      </c>
      <c r="F242">
        <v>15</v>
      </c>
      <c r="G242">
        <v>515.72</v>
      </c>
      <c r="H242">
        <v>7735.8</v>
      </c>
    </row>
    <row r="243" spans="1:8" x14ac:dyDescent="0.25">
      <c r="A243">
        <v>1242</v>
      </c>
      <c r="B243" s="1">
        <v>45354</v>
      </c>
      <c r="C243" s="13" t="s">
        <v>8</v>
      </c>
      <c r="D243" s="13" t="s">
        <v>20</v>
      </c>
      <c r="E243" s="13" t="s">
        <v>14</v>
      </c>
      <c r="F243">
        <v>6</v>
      </c>
      <c r="G243">
        <v>806.89</v>
      </c>
      <c r="H243">
        <v>4841.34</v>
      </c>
    </row>
    <row r="244" spans="1:8" x14ac:dyDescent="0.25">
      <c r="A244">
        <v>1243</v>
      </c>
      <c r="B244" s="1">
        <v>45457</v>
      </c>
      <c r="C244" s="13" t="s">
        <v>8</v>
      </c>
      <c r="D244" s="13" t="s">
        <v>18</v>
      </c>
      <c r="E244" s="13" t="s">
        <v>14</v>
      </c>
      <c r="F244">
        <v>14</v>
      </c>
      <c r="G244">
        <v>728.34</v>
      </c>
      <c r="H244">
        <v>10196.76</v>
      </c>
    </row>
    <row r="245" spans="1:8" x14ac:dyDescent="0.25">
      <c r="A245">
        <v>1244</v>
      </c>
      <c r="B245" s="1">
        <v>45512</v>
      </c>
      <c r="C245" s="13" t="s">
        <v>8</v>
      </c>
      <c r="D245" s="13" t="s">
        <v>15</v>
      </c>
      <c r="E245" s="13" t="s">
        <v>16</v>
      </c>
      <c r="F245">
        <v>8</v>
      </c>
      <c r="G245">
        <v>1081.42</v>
      </c>
      <c r="H245">
        <v>8651.36</v>
      </c>
    </row>
    <row r="246" spans="1:8" x14ac:dyDescent="0.25">
      <c r="A246">
        <v>1245</v>
      </c>
      <c r="B246" s="1">
        <v>45435</v>
      </c>
      <c r="C246" s="13" t="s">
        <v>19</v>
      </c>
      <c r="D246" s="13" t="s">
        <v>9</v>
      </c>
      <c r="E246" s="13" t="s">
        <v>21</v>
      </c>
      <c r="F246">
        <v>17</v>
      </c>
      <c r="G246">
        <v>386.6</v>
      </c>
      <c r="H246">
        <v>6572.2000000000007</v>
      </c>
    </row>
    <row r="247" spans="1:8" x14ac:dyDescent="0.25">
      <c r="A247">
        <v>1246</v>
      </c>
      <c r="B247" s="1">
        <v>45506</v>
      </c>
      <c r="C247" s="13" t="s">
        <v>8</v>
      </c>
      <c r="D247" s="13" t="s">
        <v>15</v>
      </c>
      <c r="E247" s="13" t="s">
        <v>14</v>
      </c>
      <c r="F247">
        <v>1</v>
      </c>
      <c r="G247">
        <v>1118.01</v>
      </c>
      <c r="H247">
        <v>1118.01</v>
      </c>
    </row>
    <row r="248" spans="1:8" x14ac:dyDescent="0.25">
      <c r="A248">
        <v>1247</v>
      </c>
      <c r="B248" s="1">
        <v>45364</v>
      </c>
      <c r="C248" s="13" t="s">
        <v>11</v>
      </c>
      <c r="D248" s="13" t="s">
        <v>9</v>
      </c>
      <c r="E248" s="13" t="s">
        <v>21</v>
      </c>
      <c r="F248">
        <v>10</v>
      </c>
      <c r="G248">
        <v>782.17</v>
      </c>
      <c r="H248">
        <v>7821.7</v>
      </c>
    </row>
    <row r="249" spans="1:8" x14ac:dyDescent="0.25">
      <c r="A249">
        <v>1248</v>
      </c>
      <c r="B249" s="1">
        <v>45508</v>
      </c>
      <c r="C249" s="13" t="s">
        <v>13</v>
      </c>
      <c r="D249" s="13" t="s">
        <v>18</v>
      </c>
      <c r="E249" s="13" t="s">
        <v>12</v>
      </c>
      <c r="F249">
        <v>17</v>
      </c>
      <c r="G249">
        <v>710.32</v>
      </c>
      <c r="H249">
        <v>12075.44</v>
      </c>
    </row>
    <row r="250" spans="1:8" x14ac:dyDescent="0.25">
      <c r="A250">
        <v>1249</v>
      </c>
      <c r="B250" s="1">
        <v>45339</v>
      </c>
      <c r="C250" s="13" t="s">
        <v>11</v>
      </c>
      <c r="D250" s="13" t="s">
        <v>20</v>
      </c>
      <c r="E250" s="13" t="s">
        <v>12</v>
      </c>
      <c r="F250">
        <v>19</v>
      </c>
      <c r="G250">
        <v>1134.43</v>
      </c>
      <c r="H250">
        <v>21554.17</v>
      </c>
    </row>
    <row r="251" spans="1:8" x14ac:dyDescent="0.25">
      <c r="A251">
        <v>1250</v>
      </c>
      <c r="B251" s="1">
        <v>45402</v>
      </c>
      <c r="C251" s="13" t="s">
        <v>11</v>
      </c>
      <c r="D251" s="13" t="s">
        <v>15</v>
      </c>
      <c r="E251" s="13" t="s">
        <v>16</v>
      </c>
      <c r="F251">
        <v>13</v>
      </c>
      <c r="G251">
        <v>305.27999999999997</v>
      </c>
      <c r="H251">
        <v>3968.639999999999</v>
      </c>
    </row>
    <row r="252" spans="1:8" x14ac:dyDescent="0.25">
      <c r="A252">
        <v>1251</v>
      </c>
      <c r="B252" s="1">
        <v>45561</v>
      </c>
      <c r="C252" s="13" t="s">
        <v>17</v>
      </c>
      <c r="D252" s="13" t="s">
        <v>18</v>
      </c>
      <c r="E252" s="13" t="s">
        <v>21</v>
      </c>
      <c r="F252">
        <v>4</v>
      </c>
      <c r="G252">
        <v>319.91000000000003</v>
      </c>
      <c r="H252">
        <v>1279.6400000000001</v>
      </c>
    </row>
    <row r="253" spans="1:8" x14ac:dyDescent="0.25">
      <c r="A253">
        <v>1252</v>
      </c>
      <c r="B253" s="1">
        <v>45334</v>
      </c>
      <c r="C253" s="13" t="s">
        <v>19</v>
      </c>
      <c r="D253" s="13" t="s">
        <v>9</v>
      </c>
      <c r="E253" s="13" t="s">
        <v>10</v>
      </c>
      <c r="F253">
        <v>1</v>
      </c>
      <c r="G253">
        <v>143.74</v>
      </c>
      <c r="H253">
        <v>143.74</v>
      </c>
    </row>
    <row r="254" spans="1:8" x14ac:dyDescent="0.25">
      <c r="A254">
        <v>1253</v>
      </c>
      <c r="B254" s="1">
        <v>45292</v>
      </c>
      <c r="C254" s="13" t="s">
        <v>11</v>
      </c>
      <c r="D254" s="13" t="s">
        <v>9</v>
      </c>
      <c r="E254" s="13" t="s">
        <v>10</v>
      </c>
      <c r="F254">
        <v>18</v>
      </c>
      <c r="G254">
        <v>100.93</v>
      </c>
      <c r="H254">
        <v>1816.74</v>
      </c>
    </row>
    <row r="255" spans="1:8" x14ac:dyDescent="0.25">
      <c r="A255">
        <v>1254</v>
      </c>
      <c r="B255" s="1">
        <v>45304</v>
      </c>
      <c r="C255" s="13" t="s">
        <v>8</v>
      </c>
      <c r="D255" s="13" t="s">
        <v>15</v>
      </c>
      <c r="E255" s="13" t="s">
        <v>12</v>
      </c>
      <c r="F255">
        <v>17</v>
      </c>
      <c r="G255">
        <v>1179.8599999999999</v>
      </c>
      <c r="H255">
        <v>20057.62</v>
      </c>
    </row>
    <row r="256" spans="1:8" x14ac:dyDescent="0.25">
      <c r="A256">
        <v>1255</v>
      </c>
      <c r="B256" s="1">
        <v>45399</v>
      </c>
      <c r="C256" s="13" t="s">
        <v>17</v>
      </c>
      <c r="D256" s="13" t="s">
        <v>9</v>
      </c>
      <c r="E256" s="13" t="s">
        <v>10</v>
      </c>
      <c r="F256">
        <v>16</v>
      </c>
      <c r="G256">
        <v>1087.7</v>
      </c>
      <c r="H256">
        <v>17403.2</v>
      </c>
    </row>
    <row r="257" spans="1:8" x14ac:dyDescent="0.25">
      <c r="A257">
        <v>1256</v>
      </c>
      <c r="B257" s="1">
        <v>45461</v>
      </c>
      <c r="C257" s="13" t="s">
        <v>19</v>
      </c>
      <c r="D257" s="13" t="s">
        <v>18</v>
      </c>
      <c r="E257" s="13" t="s">
        <v>16</v>
      </c>
      <c r="F257">
        <v>16</v>
      </c>
      <c r="G257">
        <v>583.07000000000005</v>
      </c>
      <c r="H257">
        <v>9329.1200000000008</v>
      </c>
    </row>
    <row r="258" spans="1:8" x14ac:dyDescent="0.25">
      <c r="A258">
        <v>1257</v>
      </c>
      <c r="B258" s="1">
        <v>45380</v>
      </c>
      <c r="C258" s="13" t="s">
        <v>17</v>
      </c>
      <c r="D258" s="13" t="s">
        <v>20</v>
      </c>
      <c r="E258" s="13" t="s">
        <v>10</v>
      </c>
      <c r="F258">
        <v>7</v>
      </c>
      <c r="G258">
        <v>96.69</v>
      </c>
      <c r="H258">
        <v>676.82999999999993</v>
      </c>
    </row>
    <row r="259" spans="1:8" x14ac:dyDescent="0.25">
      <c r="A259">
        <v>1258</v>
      </c>
      <c r="B259" s="1">
        <v>45517</v>
      </c>
      <c r="C259" s="13" t="s">
        <v>13</v>
      </c>
      <c r="D259" s="13" t="s">
        <v>20</v>
      </c>
      <c r="E259" s="13" t="s">
        <v>21</v>
      </c>
      <c r="F259">
        <v>16</v>
      </c>
      <c r="G259">
        <v>1470.54</v>
      </c>
      <c r="H259">
        <v>23528.639999999999</v>
      </c>
    </row>
    <row r="260" spans="1:8" x14ac:dyDescent="0.25">
      <c r="A260">
        <v>1259</v>
      </c>
      <c r="B260" s="1">
        <v>45310</v>
      </c>
      <c r="C260" s="13" t="s">
        <v>13</v>
      </c>
      <c r="D260" s="13" t="s">
        <v>20</v>
      </c>
      <c r="E260" s="13" t="s">
        <v>12</v>
      </c>
      <c r="F260">
        <v>12</v>
      </c>
      <c r="G260">
        <v>530.97</v>
      </c>
      <c r="H260">
        <v>6371.64</v>
      </c>
    </row>
    <row r="261" spans="1:8" x14ac:dyDescent="0.25">
      <c r="A261">
        <v>1260</v>
      </c>
      <c r="B261" s="1">
        <v>45544</v>
      </c>
      <c r="C261" s="13" t="s">
        <v>11</v>
      </c>
      <c r="D261" s="13" t="s">
        <v>20</v>
      </c>
      <c r="E261" s="13" t="s">
        <v>16</v>
      </c>
      <c r="F261">
        <v>18</v>
      </c>
      <c r="G261">
        <v>192.85</v>
      </c>
      <c r="H261">
        <v>3471.3</v>
      </c>
    </row>
    <row r="262" spans="1:8" x14ac:dyDescent="0.25">
      <c r="A262">
        <v>1261</v>
      </c>
      <c r="B262" s="1">
        <v>45386</v>
      </c>
      <c r="C262" s="13" t="s">
        <v>11</v>
      </c>
      <c r="D262" s="13" t="s">
        <v>9</v>
      </c>
      <c r="E262" s="13" t="s">
        <v>16</v>
      </c>
      <c r="F262">
        <v>7</v>
      </c>
      <c r="G262">
        <v>915.54</v>
      </c>
      <c r="H262">
        <v>6408.78</v>
      </c>
    </row>
    <row r="263" spans="1:8" x14ac:dyDescent="0.25">
      <c r="A263">
        <v>1262</v>
      </c>
      <c r="B263" s="1">
        <v>45322</v>
      </c>
      <c r="C263" s="13" t="s">
        <v>11</v>
      </c>
      <c r="D263" s="13" t="s">
        <v>9</v>
      </c>
      <c r="E263" s="13" t="s">
        <v>21</v>
      </c>
      <c r="F263">
        <v>18</v>
      </c>
      <c r="G263">
        <v>543.25</v>
      </c>
      <c r="H263">
        <v>9778.5</v>
      </c>
    </row>
    <row r="264" spans="1:8" x14ac:dyDescent="0.25">
      <c r="A264">
        <v>1263</v>
      </c>
      <c r="B264" s="1">
        <v>45558</v>
      </c>
      <c r="C264" s="13" t="s">
        <v>11</v>
      </c>
      <c r="D264" s="13" t="s">
        <v>15</v>
      </c>
      <c r="E264" s="13" t="s">
        <v>12</v>
      </c>
      <c r="F264">
        <v>19</v>
      </c>
      <c r="G264">
        <v>1150.32</v>
      </c>
      <c r="H264">
        <v>21856.080000000002</v>
      </c>
    </row>
    <row r="265" spans="1:8" x14ac:dyDescent="0.25">
      <c r="A265">
        <v>1264</v>
      </c>
      <c r="B265" s="1">
        <v>45605</v>
      </c>
      <c r="C265" s="13" t="s">
        <v>17</v>
      </c>
      <c r="D265" s="13" t="s">
        <v>9</v>
      </c>
      <c r="E265" s="13" t="s">
        <v>10</v>
      </c>
      <c r="F265">
        <v>10</v>
      </c>
      <c r="G265">
        <v>588.97</v>
      </c>
      <c r="H265">
        <v>5889.7000000000007</v>
      </c>
    </row>
    <row r="266" spans="1:8" x14ac:dyDescent="0.25">
      <c r="A266">
        <v>1265</v>
      </c>
      <c r="B266" s="1">
        <v>45449</v>
      </c>
      <c r="C266" s="13" t="s">
        <v>19</v>
      </c>
      <c r="D266" s="13" t="s">
        <v>18</v>
      </c>
      <c r="E266" s="13" t="s">
        <v>14</v>
      </c>
      <c r="F266">
        <v>3</v>
      </c>
      <c r="G266">
        <v>1344.79</v>
      </c>
      <c r="H266">
        <v>4034.37</v>
      </c>
    </row>
    <row r="267" spans="1:8" x14ac:dyDescent="0.25">
      <c r="A267">
        <v>1266</v>
      </c>
      <c r="B267" s="1">
        <v>45614</v>
      </c>
      <c r="C267" s="13" t="s">
        <v>13</v>
      </c>
      <c r="D267" s="13" t="s">
        <v>18</v>
      </c>
      <c r="E267" s="13" t="s">
        <v>14</v>
      </c>
      <c r="F267">
        <v>4</v>
      </c>
      <c r="G267">
        <v>415.83</v>
      </c>
      <c r="H267">
        <v>1663.32</v>
      </c>
    </row>
    <row r="268" spans="1:8" x14ac:dyDescent="0.25">
      <c r="A268">
        <v>1267</v>
      </c>
      <c r="B268" s="1">
        <v>45335</v>
      </c>
      <c r="C268" s="13" t="s">
        <v>17</v>
      </c>
      <c r="D268" s="13" t="s">
        <v>9</v>
      </c>
      <c r="E268" s="13" t="s">
        <v>21</v>
      </c>
      <c r="F268">
        <v>2</v>
      </c>
      <c r="G268">
        <v>578.62</v>
      </c>
      <c r="H268">
        <v>1157.24</v>
      </c>
    </row>
    <row r="269" spans="1:8" x14ac:dyDescent="0.25">
      <c r="A269">
        <v>1268</v>
      </c>
      <c r="B269" s="1">
        <v>45478</v>
      </c>
      <c r="C269" s="13" t="s">
        <v>8</v>
      </c>
      <c r="D269" s="13" t="s">
        <v>9</v>
      </c>
      <c r="E269" s="13" t="s">
        <v>10</v>
      </c>
      <c r="F269">
        <v>15</v>
      </c>
      <c r="G269">
        <v>1113</v>
      </c>
      <c r="H269">
        <v>16695</v>
      </c>
    </row>
    <row r="270" spans="1:8" x14ac:dyDescent="0.25">
      <c r="A270">
        <v>1269</v>
      </c>
      <c r="B270" s="1">
        <v>45317</v>
      </c>
      <c r="C270" s="13" t="s">
        <v>8</v>
      </c>
      <c r="D270" s="13" t="s">
        <v>15</v>
      </c>
      <c r="E270" s="13" t="s">
        <v>21</v>
      </c>
      <c r="F270">
        <v>11</v>
      </c>
      <c r="G270">
        <v>1341.46</v>
      </c>
      <c r="H270">
        <v>14756.06</v>
      </c>
    </row>
    <row r="271" spans="1:8" x14ac:dyDescent="0.25">
      <c r="A271">
        <v>1270</v>
      </c>
      <c r="B271" s="1">
        <v>45328</v>
      </c>
      <c r="C271" s="13" t="s">
        <v>8</v>
      </c>
      <c r="D271" s="13" t="s">
        <v>18</v>
      </c>
      <c r="E271" s="13" t="s">
        <v>14</v>
      </c>
      <c r="F271">
        <v>10</v>
      </c>
      <c r="G271">
        <v>882.16</v>
      </c>
      <c r="H271">
        <v>8821.6</v>
      </c>
    </row>
    <row r="272" spans="1:8" x14ac:dyDescent="0.25">
      <c r="A272">
        <v>1271</v>
      </c>
      <c r="B272" s="1">
        <v>45515</v>
      </c>
      <c r="C272" s="13" t="s">
        <v>19</v>
      </c>
      <c r="D272" s="13" t="s">
        <v>20</v>
      </c>
      <c r="E272" s="13" t="s">
        <v>21</v>
      </c>
      <c r="F272">
        <v>6</v>
      </c>
      <c r="G272">
        <v>1484.58</v>
      </c>
      <c r="H272">
        <v>8907.48</v>
      </c>
    </row>
    <row r="273" spans="1:8" x14ac:dyDescent="0.25">
      <c r="A273">
        <v>1272</v>
      </c>
      <c r="B273" s="1">
        <v>45377</v>
      </c>
      <c r="C273" s="13" t="s">
        <v>8</v>
      </c>
      <c r="D273" s="13" t="s">
        <v>15</v>
      </c>
      <c r="E273" s="13" t="s">
        <v>14</v>
      </c>
      <c r="F273">
        <v>4</v>
      </c>
      <c r="G273">
        <v>692.22</v>
      </c>
      <c r="H273">
        <v>2768.88</v>
      </c>
    </row>
    <row r="274" spans="1:8" x14ac:dyDescent="0.25">
      <c r="A274">
        <v>1273</v>
      </c>
      <c r="B274" s="1">
        <v>45506</v>
      </c>
      <c r="C274" s="13" t="s">
        <v>19</v>
      </c>
      <c r="D274" s="13" t="s">
        <v>9</v>
      </c>
      <c r="E274" s="13" t="s">
        <v>16</v>
      </c>
      <c r="F274">
        <v>15</v>
      </c>
      <c r="G274">
        <v>1387.11</v>
      </c>
      <c r="H274">
        <v>20806.650000000001</v>
      </c>
    </row>
    <row r="275" spans="1:8" x14ac:dyDescent="0.25">
      <c r="A275">
        <v>1274</v>
      </c>
      <c r="B275" s="1">
        <v>45637</v>
      </c>
      <c r="C275" s="13" t="s">
        <v>17</v>
      </c>
      <c r="D275" s="13" t="s">
        <v>20</v>
      </c>
      <c r="E275" s="13" t="s">
        <v>10</v>
      </c>
      <c r="F275">
        <v>10</v>
      </c>
      <c r="G275">
        <v>1267.46</v>
      </c>
      <c r="H275">
        <v>12674.6</v>
      </c>
    </row>
    <row r="276" spans="1:8" x14ac:dyDescent="0.25">
      <c r="A276">
        <v>1275</v>
      </c>
      <c r="B276" s="1">
        <v>45593</v>
      </c>
      <c r="C276" s="13" t="s">
        <v>17</v>
      </c>
      <c r="D276" s="13" t="s">
        <v>15</v>
      </c>
      <c r="E276" s="13" t="s">
        <v>16</v>
      </c>
      <c r="F276">
        <v>14</v>
      </c>
      <c r="G276">
        <v>1061.58</v>
      </c>
      <c r="H276">
        <v>14862.12</v>
      </c>
    </row>
    <row r="277" spans="1:8" x14ac:dyDescent="0.25">
      <c r="A277">
        <v>1276</v>
      </c>
      <c r="B277" s="1">
        <v>45564</v>
      </c>
      <c r="C277" s="13" t="s">
        <v>8</v>
      </c>
      <c r="D277" s="13" t="s">
        <v>20</v>
      </c>
      <c r="E277" s="13" t="s">
        <v>10</v>
      </c>
      <c r="F277">
        <v>15</v>
      </c>
      <c r="G277">
        <v>224.76</v>
      </c>
      <c r="H277">
        <v>3371.4</v>
      </c>
    </row>
    <row r="278" spans="1:8" x14ac:dyDescent="0.25">
      <c r="A278">
        <v>1277</v>
      </c>
      <c r="B278" s="1">
        <v>45465</v>
      </c>
      <c r="C278" s="13" t="s">
        <v>11</v>
      </c>
      <c r="D278" s="13" t="s">
        <v>15</v>
      </c>
      <c r="E278" s="13" t="s">
        <v>12</v>
      </c>
      <c r="F278">
        <v>12</v>
      </c>
      <c r="G278">
        <v>764.01</v>
      </c>
      <c r="H278">
        <v>9168.119999999999</v>
      </c>
    </row>
    <row r="279" spans="1:8" x14ac:dyDescent="0.25">
      <c r="A279">
        <v>1278</v>
      </c>
      <c r="B279" s="1">
        <v>45316</v>
      </c>
      <c r="C279" s="13" t="s">
        <v>11</v>
      </c>
      <c r="D279" s="13" t="s">
        <v>15</v>
      </c>
      <c r="E279" s="13" t="s">
        <v>10</v>
      </c>
      <c r="F279">
        <v>11</v>
      </c>
      <c r="G279">
        <v>1206.01</v>
      </c>
      <c r="H279">
        <v>13266.11</v>
      </c>
    </row>
    <row r="280" spans="1:8" x14ac:dyDescent="0.25">
      <c r="A280">
        <v>1279</v>
      </c>
      <c r="B280" s="1">
        <v>45565</v>
      </c>
      <c r="C280" s="13" t="s">
        <v>17</v>
      </c>
      <c r="D280" s="13" t="s">
        <v>18</v>
      </c>
      <c r="E280" s="13" t="s">
        <v>16</v>
      </c>
      <c r="F280">
        <v>9</v>
      </c>
      <c r="G280">
        <v>646.66</v>
      </c>
      <c r="H280">
        <v>5819.94</v>
      </c>
    </row>
    <row r="281" spans="1:8" x14ac:dyDescent="0.25">
      <c r="A281">
        <v>1280</v>
      </c>
      <c r="B281" s="1">
        <v>45607</v>
      </c>
      <c r="C281" s="13" t="s">
        <v>13</v>
      </c>
      <c r="D281" s="13" t="s">
        <v>9</v>
      </c>
      <c r="E281" s="13" t="s">
        <v>12</v>
      </c>
      <c r="F281">
        <v>5</v>
      </c>
      <c r="G281">
        <v>998.32</v>
      </c>
      <c r="H281">
        <v>4991.6000000000004</v>
      </c>
    </row>
    <row r="282" spans="1:8" x14ac:dyDescent="0.25">
      <c r="A282">
        <v>1281</v>
      </c>
      <c r="B282" s="1">
        <v>45445</v>
      </c>
      <c r="C282" s="13" t="s">
        <v>11</v>
      </c>
      <c r="D282" s="13" t="s">
        <v>9</v>
      </c>
      <c r="E282" s="13" t="s">
        <v>16</v>
      </c>
      <c r="F282">
        <v>13</v>
      </c>
      <c r="G282">
        <v>715.56</v>
      </c>
      <c r="H282">
        <v>9302.2799999999988</v>
      </c>
    </row>
    <row r="283" spans="1:8" x14ac:dyDescent="0.25">
      <c r="A283">
        <v>1282</v>
      </c>
      <c r="B283" s="1">
        <v>45627</v>
      </c>
      <c r="C283" s="13" t="s">
        <v>17</v>
      </c>
      <c r="D283" s="13" t="s">
        <v>20</v>
      </c>
      <c r="E283" s="13" t="s">
        <v>14</v>
      </c>
      <c r="F283">
        <v>19</v>
      </c>
      <c r="G283">
        <v>125.87</v>
      </c>
      <c r="H283">
        <v>2391.5300000000002</v>
      </c>
    </row>
    <row r="284" spans="1:8" x14ac:dyDescent="0.25">
      <c r="A284">
        <v>1283</v>
      </c>
      <c r="B284" s="1">
        <v>45507</v>
      </c>
      <c r="C284" s="13" t="s">
        <v>19</v>
      </c>
      <c r="D284" s="13" t="s">
        <v>18</v>
      </c>
      <c r="E284" s="13" t="s">
        <v>12</v>
      </c>
      <c r="F284">
        <v>12</v>
      </c>
      <c r="G284">
        <v>1385.58</v>
      </c>
      <c r="H284">
        <v>16626.96</v>
      </c>
    </row>
    <row r="285" spans="1:8" x14ac:dyDescent="0.25">
      <c r="A285">
        <v>1284</v>
      </c>
      <c r="B285" s="1">
        <v>45350</v>
      </c>
      <c r="C285" s="13" t="s">
        <v>13</v>
      </c>
      <c r="D285" s="13" t="s">
        <v>20</v>
      </c>
      <c r="E285" s="13" t="s">
        <v>14</v>
      </c>
      <c r="F285">
        <v>19</v>
      </c>
      <c r="G285">
        <v>1380.08</v>
      </c>
      <c r="H285">
        <v>26221.52</v>
      </c>
    </row>
    <row r="286" spans="1:8" x14ac:dyDescent="0.25">
      <c r="A286">
        <v>1285</v>
      </c>
      <c r="B286" s="1">
        <v>45541</v>
      </c>
      <c r="C286" s="13" t="s">
        <v>11</v>
      </c>
      <c r="D286" s="13" t="s">
        <v>20</v>
      </c>
      <c r="E286" s="13" t="s">
        <v>14</v>
      </c>
      <c r="F286">
        <v>15</v>
      </c>
      <c r="G286">
        <v>216.97</v>
      </c>
      <c r="H286">
        <v>3254.55</v>
      </c>
    </row>
    <row r="287" spans="1:8" x14ac:dyDescent="0.25">
      <c r="A287">
        <v>1286</v>
      </c>
      <c r="B287" s="1">
        <v>45600</v>
      </c>
      <c r="C287" s="13" t="s">
        <v>19</v>
      </c>
      <c r="D287" s="13" t="s">
        <v>15</v>
      </c>
      <c r="E287" s="13" t="s">
        <v>10</v>
      </c>
      <c r="F287">
        <v>17</v>
      </c>
      <c r="G287">
        <v>57.64</v>
      </c>
      <c r="H287">
        <v>979.88</v>
      </c>
    </row>
    <row r="288" spans="1:8" x14ac:dyDescent="0.25">
      <c r="A288">
        <v>1287</v>
      </c>
      <c r="B288" s="1">
        <v>45353</v>
      </c>
      <c r="C288" s="13" t="s">
        <v>13</v>
      </c>
      <c r="D288" s="13" t="s">
        <v>20</v>
      </c>
      <c r="E288" s="13" t="s">
        <v>16</v>
      </c>
      <c r="F288">
        <v>7</v>
      </c>
      <c r="G288">
        <v>495.55</v>
      </c>
      <c r="H288">
        <v>3468.85</v>
      </c>
    </row>
    <row r="289" spans="1:8" x14ac:dyDescent="0.25">
      <c r="A289">
        <v>1288</v>
      </c>
      <c r="B289" s="1">
        <v>45300</v>
      </c>
      <c r="C289" s="13" t="s">
        <v>8</v>
      </c>
      <c r="D289" s="13" t="s">
        <v>18</v>
      </c>
      <c r="E289" s="13" t="s">
        <v>12</v>
      </c>
      <c r="F289">
        <v>16</v>
      </c>
      <c r="G289">
        <v>505.38</v>
      </c>
      <c r="H289">
        <v>8086.08</v>
      </c>
    </row>
    <row r="290" spans="1:8" x14ac:dyDescent="0.25">
      <c r="A290">
        <v>1289</v>
      </c>
      <c r="B290" s="1">
        <v>45625</v>
      </c>
      <c r="C290" s="13" t="s">
        <v>17</v>
      </c>
      <c r="D290" s="13" t="s">
        <v>15</v>
      </c>
      <c r="E290" s="13" t="s">
        <v>10</v>
      </c>
      <c r="F290">
        <v>13</v>
      </c>
      <c r="G290">
        <v>1103.42</v>
      </c>
      <c r="H290">
        <v>14344.46</v>
      </c>
    </row>
    <row r="291" spans="1:8" x14ac:dyDescent="0.25">
      <c r="A291">
        <v>1290</v>
      </c>
      <c r="B291" s="1">
        <v>45304</v>
      </c>
      <c r="C291" s="13" t="s">
        <v>13</v>
      </c>
      <c r="D291" s="13" t="s">
        <v>9</v>
      </c>
      <c r="E291" s="13" t="s">
        <v>14</v>
      </c>
      <c r="F291">
        <v>14</v>
      </c>
      <c r="G291">
        <v>509.9</v>
      </c>
      <c r="H291">
        <v>7138.5999999999995</v>
      </c>
    </row>
    <row r="292" spans="1:8" x14ac:dyDescent="0.25">
      <c r="A292">
        <v>1291</v>
      </c>
      <c r="B292" s="1">
        <v>45410</v>
      </c>
      <c r="C292" s="13" t="s">
        <v>13</v>
      </c>
      <c r="D292" s="13" t="s">
        <v>15</v>
      </c>
      <c r="E292" s="13" t="s">
        <v>14</v>
      </c>
      <c r="F292">
        <v>2</v>
      </c>
      <c r="G292">
        <v>1372.39</v>
      </c>
      <c r="H292">
        <v>2744.78</v>
      </c>
    </row>
    <row r="293" spans="1:8" x14ac:dyDescent="0.25">
      <c r="A293">
        <v>1292</v>
      </c>
      <c r="B293" s="1">
        <v>45517</v>
      </c>
      <c r="C293" s="13" t="s">
        <v>8</v>
      </c>
      <c r="D293" s="13" t="s">
        <v>9</v>
      </c>
      <c r="E293" s="13" t="s">
        <v>14</v>
      </c>
      <c r="F293">
        <v>18</v>
      </c>
      <c r="G293">
        <v>995.78</v>
      </c>
      <c r="H293">
        <v>17924.04</v>
      </c>
    </row>
    <row r="294" spans="1:8" x14ac:dyDescent="0.25">
      <c r="A294">
        <v>1293</v>
      </c>
      <c r="B294" s="1">
        <v>45489</v>
      </c>
      <c r="C294" s="13" t="s">
        <v>11</v>
      </c>
      <c r="D294" s="13" t="s">
        <v>9</v>
      </c>
      <c r="E294" s="13" t="s">
        <v>14</v>
      </c>
      <c r="F294">
        <v>18</v>
      </c>
      <c r="G294">
        <v>208.3</v>
      </c>
      <c r="H294">
        <v>3749.4</v>
      </c>
    </row>
    <row r="295" spans="1:8" x14ac:dyDescent="0.25">
      <c r="A295">
        <v>1294</v>
      </c>
      <c r="B295" s="1">
        <v>45485</v>
      </c>
      <c r="C295" s="13" t="s">
        <v>17</v>
      </c>
      <c r="D295" s="13" t="s">
        <v>15</v>
      </c>
      <c r="E295" s="13" t="s">
        <v>10</v>
      </c>
      <c r="F295">
        <v>11</v>
      </c>
      <c r="G295">
        <v>705.09</v>
      </c>
      <c r="H295">
        <v>7755.9900000000007</v>
      </c>
    </row>
    <row r="296" spans="1:8" x14ac:dyDescent="0.25">
      <c r="A296">
        <v>1295</v>
      </c>
      <c r="B296" s="1">
        <v>45389</v>
      </c>
      <c r="C296" s="13" t="s">
        <v>11</v>
      </c>
      <c r="D296" s="13" t="s">
        <v>18</v>
      </c>
      <c r="E296" s="13" t="s">
        <v>10</v>
      </c>
      <c r="F296">
        <v>2</v>
      </c>
      <c r="G296">
        <v>1498.48</v>
      </c>
      <c r="H296">
        <v>2996.96</v>
      </c>
    </row>
    <row r="297" spans="1:8" x14ac:dyDescent="0.25">
      <c r="A297">
        <v>1296</v>
      </c>
      <c r="B297" s="1">
        <v>45507</v>
      </c>
      <c r="C297" s="13" t="s">
        <v>19</v>
      </c>
      <c r="D297" s="13" t="s">
        <v>18</v>
      </c>
      <c r="E297" s="13" t="s">
        <v>21</v>
      </c>
      <c r="F297">
        <v>9</v>
      </c>
      <c r="G297">
        <v>505.95</v>
      </c>
      <c r="H297">
        <v>4553.55</v>
      </c>
    </row>
    <row r="298" spans="1:8" x14ac:dyDescent="0.25">
      <c r="A298">
        <v>1297</v>
      </c>
      <c r="B298" s="1">
        <v>45421</v>
      </c>
      <c r="C298" s="13" t="s">
        <v>8</v>
      </c>
      <c r="D298" s="13" t="s">
        <v>20</v>
      </c>
      <c r="E298" s="13" t="s">
        <v>14</v>
      </c>
      <c r="F298">
        <v>1</v>
      </c>
      <c r="G298">
        <v>415.53</v>
      </c>
      <c r="H298">
        <v>415.53</v>
      </c>
    </row>
    <row r="299" spans="1:8" x14ac:dyDescent="0.25">
      <c r="A299">
        <v>1298</v>
      </c>
      <c r="B299" s="1">
        <v>45509</v>
      </c>
      <c r="C299" s="13" t="s">
        <v>19</v>
      </c>
      <c r="D299" s="13" t="s">
        <v>9</v>
      </c>
      <c r="E299" s="13" t="s">
        <v>21</v>
      </c>
      <c r="F299">
        <v>18</v>
      </c>
      <c r="G299">
        <v>556.04</v>
      </c>
      <c r="H299">
        <v>10008.719999999999</v>
      </c>
    </row>
    <row r="300" spans="1:8" x14ac:dyDescent="0.25">
      <c r="A300">
        <v>1299</v>
      </c>
      <c r="B300" s="1">
        <v>45619</v>
      </c>
      <c r="C300" s="13" t="s">
        <v>13</v>
      </c>
      <c r="D300" s="13" t="s">
        <v>18</v>
      </c>
      <c r="E300" s="13" t="s">
        <v>14</v>
      </c>
      <c r="F300">
        <v>18</v>
      </c>
      <c r="G300">
        <v>1329.06</v>
      </c>
      <c r="H300">
        <v>23923.08</v>
      </c>
    </row>
    <row r="301" spans="1:8" x14ac:dyDescent="0.25">
      <c r="A301">
        <v>1300</v>
      </c>
      <c r="B301" s="1">
        <v>45404</v>
      </c>
      <c r="C301" s="13" t="s">
        <v>11</v>
      </c>
      <c r="D301" s="13" t="s">
        <v>20</v>
      </c>
      <c r="E301" s="13" t="s">
        <v>21</v>
      </c>
      <c r="F301">
        <v>14</v>
      </c>
      <c r="G301">
        <v>788.85</v>
      </c>
      <c r="H301">
        <v>11043.9</v>
      </c>
    </row>
    <row r="302" spans="1:8" x14ac:dyDescent="0.25">
      <c r="A302">
        <v>1301</v>
      </c>
      <c r="B302" s="1">
        <v>45466</v>
      </c>
      <c r="C302" s="13" t="s">
        <v>17</v>
      </c>
      <c r="D302" s="13" t="s">
        <v>9</v>
      </c>
      <c r="E302" s="13" t="s">
        <v>12</v>
      </c>
      <c r="F302">
        <v>5</v>
      </c>
      <c r="G302">
        <v>650.47</v>
      </c>
      <c r="H302">
        <v>3252.35</v>
      </c>
    </row>
    <row r="303" spans="1:8" x14ac:dyDescent="0.25">
      <c r="A303">
        <v>1302</v>
      </c>
      <c r="B303" s="1">
        <v>45450</v>
      </c>
      <c r="C303" s="13" t="s">
        <v>17</v>
      </c>
      <c r="D303" s="13" t="s">
        <v>9</v>
      </c>
      <c r="E303" s="13" t="s">
        <v>14</v>
      </c>
      <c r="F303">
        <v>10</v>
      </c>
      <c r="G303">
        <v>209</v>
      </c>
      <c r="H303">
        <v>2090</v>
      </c>
    </row>
    <row r="304" spans="1:8" x14ac:dyDescent="0.25">
      <c r="A304">
        <v>1303</v>
      </c>
      <c r="B304" s="1">
        <v>45328</v>
      </c>
      <c r="C304" s="13" t="s">
        <v>11</v>
      </c>
      <c r="D304" s="13" t="s">
        <v>20</v>
      </c>
      <c r="E304" s="13" t="s">
        <v>21</v>
      </c>
      <c r="F304">
        <v>3</v>
      </c>
      <c r="G304">
        <v>1132.56</v>
      </c>
      <c r="H304">
        <v>3397.68</v>
      </c>
    </row>
    <row r="305" spans="1:8" x14ac:dyDescent="0.25">
      <c r="A305">
        <v>1304</v>
      </c>
      <c r="B305" s="1">
        <v>45466</v>
      </c>
      <c r="C305" s="13" t="s">
        <v>11</v>
      </c>
      <c r="D305" s="13" t="s">
        <v>18</v>
      </c>
      <c r="E305" s="13" t="s">
        <v>16</v>
      </c>
      <c r="F305">
        <v>9</v>
      </c>
      <c r="G305">
        <v>1347.26</v>
      </c>
      <c r="H305">
        <v>12125.34</v>
      </c>
    </row>
    <row r="306" spans="1:8" x14ac:dyDescent="0.25">
      <c r="A306">
        <v>1305</v>
      </c>
      <c r="B306" s="1">
        <v>45505</v>
      </c>
      <c r="C306" s="13" t="s">
        <v>19</v>
      </c>
      <c r="D306" s="13" t="s">
        <v>18</v>
      </c>
      <c r="E306" s="13" t="s">
        <v>12</v>
      </c>
      <c r="F306">
        <v>1</v>
      </c>
      <c r="G306">
        <v>1017.74</v>
      </c>
      <c r="H306">
        <v>1017.74</v>
      </c>
    </row>
    <row r="307" spans="1:8" x14ac:dyDescent="0.25">
      <c r="A307">
        <v>1306</v>
      </c>
      <c r="B307" s="1">
        <v>45539</v>
      </c>
      <c r="C307" s="13" t="s">
        <v>13</v>
      </c>
      <c r="D307" s="13" t="s">
        <v>18</v>
      </c>
      <c r="E307" s="13" t="s">
        <v>14</v>
      </c>
      <c r="F307">
        <v>8</v>
      </c>
      <c r="G307">
        <v>209.99</v>
      </c>
      <c r="H307">
        <v>1679.92</v>
      </c>
    </row>
    <row r="308" spans="1:8" x14ac:dyDescent="0.25">
      <c r="A308">
        <v>1307</v>
      </c>
      <c r="B308" s="1">
        <v>45453</v>
      </c>
      <c r="C308" s="13" t="s">
        <v>19</v>
      </c>
      <c r="D308" s="13" t="s">
        <v>15</v>
      </c>
      <c r="E308" s="13" t="s">
        <v>10</v>
      </c>
      <c r="F308">
        <v>3</v>
      </c>
      <c r="G308">
        <v>889.92</v>
      </c>
      <c r="H308">
        <v>2669.76</v>
      </c>
    </row>
    <row r="309" spans="1:8" x14ac:dyDescent="0.25">
      <c r="A309">
        <v>1308</v>
      </c>
      <c r="B309" s="1">
        <v>45480</v>
      </c>
      <c r="C309" s="13" t="s">
        <v>17</v>
      </c>
      <c r="D309" s="13" t="s">
        <v>9</v>
      </c>
      <c r="E309" s="13" t="s">
        <v>21</v>
      </c>
      <c r="F309">
        <v>15</v>
      </c>
      <c r="G309">
        <v>632.70000000000005</v>
      </c>
      <c r="H309">
        <v>9490.5</v>
      </c>
    </row>
    <row r="310" spans="1:8" x14ac:dyDescent="0.25">
      <c r="A310">
        <v>1309</v>
      </c>
      <c r="B310" s="1">
        <v>45587</v>
      </c>
      <c r="C310" s="13" t="s">
        <v>11</v>
      </c>
      <c r="D310" s="13" t="s">
        <v>9</v>
      </c>
      <c r="E310" s="13" t="s">
        <v>12</v>
      </c>
      <c r="F310">
        <v>7</v>
      </c>
      <c r="G310">
        <v>589.17999999999995</v>
      </c>
      <c r="H310">
        <v>4124.2599999999993</v>
      </c>
    </row>
    <row r="311" spans="1:8" x14ac:dyDescent="0.25">
      <c r="A311">
        <v>1310</v>
      </c>
      <c r="B311" s="1">
        <v>45486</v>
      </c>
      <c r="C311" s="13" t="s">
        <v>8</v>
      </c>
      <c r="D311" s="13" t="s">
        <v>18</v>
      </c>
      <c r="E311" s="13" t="s">
        <v>21</v>
      </c>
      <c r="F311">
        <v>11</v>
      </c>
      <c r="G311">
        <v>956.65</v>
      </c>
      <c r="H311">
        <v>10523.15</v>
      </c>
    </row>
    <row r="312" spans="1:8" x14ac:dyDescent="0.25">
      <c r="A312">
        <v>1311</v>
      </c>
      <c r="B312" s="1">
        <v>45458</v>
      </c>
      <c r="C312" s="13" t="s">
        <v>13</v>
      </c>
      <c r="D312" s="13" t="s">
        <v>9</v>
      </c>
      <c r="E312" s="13" t="s">
        <v>16</v>
      </c>
      <c r="F312">
        <v>3</v>
      </c>
      <c r="G312">
        <v>554.12</v>
      </c>
      <c r="H312">
        <v>1662.36</v>
      </c>
    </row>
    <row r="313" spans="1:8" x14ac:dyDescent="0.25">
      <c r="A313">
        <v>1312</v>
      </c>
      <c r="B313" s="1">
        <v>45329</v>
      </c>
      <c r="C313" s="13" t="s">
        <v>11</v>
      </c>
      <c r="D313" s="13" t="s">
        <v>9</v>
      </c>
      <c r="E313" s="13" t="s">
        <v>21</v>
      </c>
      <c r="F313">
        <v>2</v>
      </c>
      <c r="G313">
        <v>1278.49</v>
      </c>
      <c r="H313">
        <v>2556.98</v>
      </c>
    </row>
    <row r="314" spans="1:8" x14ac:dyDescent="0.25">
      <c r="A314">
        <v>1313</v>
      </c>
      <c r="B314" s="1">
        <v>45327</v>
      </c>
      <c r="C314" s="13" t="s">
        <v>13</v>
      </c>
      <c r="D314" s="13" t="s">
        <v>9</v>
      </c>
      <c r="E314" s="13" t="s">
        <v>14</v>
      </c>
      <c r="F314">
        <v>12</v>
      </c>
      <c r="G314">
        <v>363.9</v>
      </c>
      <c r="H314">
        <v>4366.7999999999993</v>
      </c>
    </row>
    <row r="315" spans="1:8" x14ac:dyDescent="0.25">
      <c r="A315">
        <v>1314</v>
      </c>
      <c r="B315" s="1">
        <v>45552</v>
      </c>
      <c r="C315" s="13" t="s">
        <v>17</v>
      </c>
      <c r="D315" s="13" t="s">
        <v>9</v>
      </c>
      <c r="E315" s="13" t="s">
        <v>16</v>
      </c>
      <c r="F315">
        <v>4</v>
      </c>
      <c r="G315">
        <v>1458.9</v>
      </c>
      <c r="H315">
        <v>5835.6</v>
      </c>
    </row>
    <row r="316" spans="1:8" x14ac:dyDescent="0.25">
      <c r="A316">
        <v>1315</v>
      </c>
      <c r="B316" s="1">
        <v>45491</v>
      </c>
      <c r="C316" s="13" t="s">
        <v>19</v>
      </c>
      <c r="D316" s="13" t="s">
        <v>18</v>
      </c>
      <c r="E316" s="13" t="s">
        <v>10</v>
      </c>
      <c r="F316">
        <v>2</v>
      </c>
      <c r="G316">
        <v>982.13</v>
      </c>
      <c r="H316">
        <v>1964.26</v>
      </c>
    </row>
    <row r="317" spans="1:8" x14ac:dyDescent="0.25">
      <c r="A317">
        <v>1316</v>
      </c>
      <c r="B317" s="1">
        <v>45650</v>
      </c>
      <c r="C317" s="13" t="s">
        <v>11</v>
      </c>
      <c r="D317" s="13" t="s">
        <v>20</v>
      </c>
      <c r="E317" s="13" t="s">
        <v>16</v>
      </c>
      <c r="F317">
        <v>10</v>
      </c>
      <c r="G317">
        <v>229.47</v>
      </c>
      <c r="H317">
        <v>2294.6999999999998</v>
      </c>
    </row>
    <row r="318" spans="1:8" x14ac:dyDescent="0.25">
      <c r="A318">
        <v>1317</v>
      </c>
      <c r="B318" s="1">
        <v>45537</v>
      </c>
      <c r="C318" s="13" t="s">
        <v>8</v>
      </c>
      <c r="D318" s="13" t="s">
        <v>15</v>
      </c>
      <c r="E318" s="13" t="s">
        <v>10</v>
      </c>
      <c r="F318">
        <v>17</v>
      </c>
      <c r="G318">
        <v>489.04</v>
      </c>
      <c r="H318">
        <v>8313.68</v>
      </c>
    </row>
    <row r="319" spans="1:8" x14ac:dyDescent="0.25">
      <c r="A319">
        <v>1318</v>
      </c>
      <c r="B319" s="1">
        <v>45588</v>
      </c>
      <c r="C319" s="13" t="s">
        <v>17</v>
      </c>
      <c r="D319" s="13" t="s">
        <v>20</v>
      </c>
      <c r="E319" s="13" t="s">
        <v>21</v>
      </c>
      <c r="F319">
        <v>17</v>
      </c>
      <c r="G319">
        <v>779.16</v>
      </c>
      <c r="H319">
        <v>13245.72</v>
      </c>
    </row>
    <row r="320" spans="1:8" x14ac:dyDescent="0.25">
      <c r="A320">
        <v>1319</v>
      </c>
      <c r="B320" s="1">
        <v>45460</v>
      </c>
      <c r="C320" s="13" t="s">
        <v>17</v>
      </c>
      <c r="D320" s="13" t="s">
        <v>18</v>
      </c>
      <c r="E320" s="13" t="s">
        <v>12</v>
      </c>
      <c r="F320">
        <v>11</v>
      </c>
      <c r="G320">
        <v>614.46</v>
      </c>
      <c r="H320">
        <v>6759.06</v>
      </c>
    </row>
    <row r="321" spans="1:8" x14ac:dyDescent="0.25">
      <c r="A321">
        <v>1320</v>
      </c>
      <c r="B321" s="1">
        <v>45458</v>
      </c>
      <c r="C321" s="13" t="s">
        <v>17</v>
      </c>
      <c r="D321" s="13" t="s">
        <v>18</v>
      </c>
      <c r="E321" s="13" t="s">
        <v>10</v>
      </c>
      <c r="F321">
        <v>2</v>
      </c>
      <c r="G321">
        <v>856.25</v>
      </c>
      <c r="H321">
        <v>1712.5</v>
      </c>
    </row>
    <row r="322" spans="1:8" x14ac:dyDescent="0.25">
      <c r="A322">
        <v>1321</v>
      </c>
      <c r="B322" s="1">
        <v>45378</v>
      </c>
      <c r="C322" s="13" t="s">
        <v>17</v>
      </c>
      <c r="D322" s="13" t="s">
        <v>20</v>
      </c>
      <c r="E322" s="13" t="s">
        <v>12</v>
      </c>
      <c r="F322">
        <v>5</v>
      </c>
      <c r="G322">
        <v>563.65</v>
      </c>
      <c r="H322">
        <v>2818.25</v>
      </c>
    </row>
    <row r="323" spans="1:8" x14ac:dyDescent="0.25">
      <c r="A323">
        <v>1322</v>
      </c>
      <c r="B323" s="1">
        <v>45641</v>
      </c>
      <c r="C323" s="13" t="s">
        <v>19</v>
      </c>
      <c r="D323" s="13" t="s">
        <v>15</v>
      </c>
      <c r="E323" s="13" t="s">
        <v>16</v>
      </c>
      <c r="F323">
        <v>1</v>
      </c>
      <c r="G323">
        <v>300.06</v>
      </c>
      <c r="H323">
        <v>300.06</v>
      </c>
    </row>
    <row r="324" spans="1:8" x14ac:dyDescent="0.25">
      <c r="A324">
        <v>1323</v>
      </c>
      <c r="B324" s="1">
        <v>45388</v>
      </c>
      <c r="C324" s="13" t="s">
        <v>11</v>
      </c>
      <c r="D324" s="13" t="s">
        <v>18</v>
      </c>
      <c r="E324" s="13" t="s">
        <v>12</v>
      </c>
      <c r="F324">
        <v>7</v>
      </c>
      <c r="G324">
        <v>318.83</v>
      </c>
      <c r="H324">
        <v>2231.81</v>
      </c>
    </row>
    <row r="325" spans="1:8" x14ac:dyDescent="0.25">
      <c r="A325">
        <v>1324</v>
      </c>
      <c r="B325" s="1">
        <v>45486</v>
      </c>
      <c r="C325" s="13" t="s">
        <v>8</v>
      </c>
      <c r="D325" s="13" t="s">
        <v>9</v>
      </c>
      <c r="E325" s="13" t="s">
        <v>21</v>
      </c>
      <c r="F325">
        <v>7</v>
      </c>
      <c r="G325">
        <v>1119.45</v>
      </c>
      <c r="H325">
        <v>7836.1500000000005</v>
      </c>
    </row>
    <row r="326" spans="1:8" x14ac:dyDescent="0.25">
      <c r="A326">
        <v>1325</v>
      </c>
      <c r="B326" s="1">
        <v>45636</v>
      </c>
      <c r="C326" s="13" t="s">
        <v>13</v>
      </c>
      <c r="D326" s="13" t="s">
        <v>18</v>
      </c>
      <c r="E326" s="13" t="s">
        <v>16</v>
      </c>
      <c r="F326">
        <v>19</v>
      </c>
      <c r="G326">
        <v>430.39</v>
      </c>
      <c r="H326">
        <v>8177.41</v>
      </c>
    </row>
    <row r="327" spans="1:8" x14ac:dyDescent="0.25">
      <c r="A327">
        <v>1326</v>
      </c>
      <c r="B327" s="1">
        <v>45453</v>
      </c>
      <c r="C327" s="13" t="s">
        <v>19</v>
      </c>
      <c r="D327" s="13" t="s">
        <v>15</v>
      </c>
      <c r="E327" s="13" t="s">
        <v>10</v>
      </c>
      <c r="F327">
        <v>8</v>
      </c>
      <c r="G327">
        <v>575.1</v>
      </c>
      <c r="H327">
        <v>4600.8</v>
      </c>
    </row>
    <row r="328" spans="1:8" x14ac:dyDescent="0.25">
      <c r="A328">
        <v>1327</v>
      </c>
      <c r="B328" s="1">
        <v>45324</v>
      </c>
      <c r="C328" s="13" t="s">
        <v>17</v>
      </c>
      <c r="D328" s="13" t="s">
        <v>15</v>
      </c>
      <c r="E328" s="13" t="s">
        <v>21</v>
      </c>
      <c r="F328">
        <v>11</v>
      </c>
      <c r="G328">
        <v>1235.8699999999999</v>
      </c>
      <c r="H328">
        <v>13594.57</v>
      </c>
    </row>
    <row r="329" spans="1:8" x14ac:dyDescent="0.25">
      <c r="A329">
        <v>1328</v>
      </c>
      <c r="B329" s="1">
        <v>45469</v>
      </c>
      <c r="C329" s="13" t="s">
        <v>13</v>
      </c>
      <c r="D329" s="13" t="s">
        <v>9</v>
      </c>
      <c r="E329" s="13" t="s">
        <v>16</v>
      </c>
      <c r="F329">
        <v>17</v>
      </c>
      <c r="G329">
        <v>1172.53</v>
      </c>
      <c r="H329">
        <v>19933.009999999998</v>
      </c>
    </row>
    <row r="330" spans="1:8" x14ac:dyDescent="0.25">
      <c r="A330">
        <v>1329</v>
      </c>
      <c r="B330" s="1">
        <v>45587</v>
      </c>
      <c r="C330" s="13" t="s">
        <v>8</v>
      </c>
      <c r="D330" s="13" t="s">
        <v>9</v>
      </c>
      <c r="E330" s="13" t="s">
        <v>16</v>
      </c>
      <c r="F330">
        <v>13</v>
      </c>
      <c r="G330">
        <v>684.85</v>
      </c>
      <c r="H330">
        <v>8903.0500000000011</v>
      </c>
    </row>
    <row r="331" spans="1:8" x14ac:dyDescent="0.25">
      <c r="A331">
        <v>1330</v>
      </c>
      <c r="B331" s="1">
        <v>45564</v>
      </c>
      <c r="C331" s="13" t="s">
        <v>13</v>
      </c>
      <c r="D331" s="13" t="s">
        <v>9</v>
      </c>
      <c r="E331" s="13" t="s">
        <v>12</v>
      </c>
      <c r="F331">
        <v>2</v>
      </c>
      <c r="G331">
        <v>1122.53</v>
      </c>
      <c r="H331">
        <v>2245.06</v>
      </c>
    </row>
    <row r="332" spans="1:8" x14ac:dyDescent="0.25">
      <c r="A332">
        <v>1331</v>
      </c>
      <c r="B332" s="1">
        <v>45361</v>
      </c>
      <c r="C332" s="13" t="s">
        <v>13</v>
      </c>
      <c r="D332" s="13" t="s">
        <v>20</v>
      </c>
      <c r="E332" s="13" t="s">
        <v>12</v>
      </c>
      <c r="F332">
        <v>17</v>
      </c>
      <c r="G332">
        <v>306.19</v>
      </c>
      <c r="H332">
        <v>5205.2299999999996</v>
      </c>
    </row>
    <row r="333" spans="1:8" x14ac:dyDescent="0.25">
      <c r="A333">
        <v>1332</v>
      </c>
      <c r="B333" s="1">
        <v>45509</v>
      </c>
      <c r="C333" s="13" t="s">
        <v>11</v>
      </c>
      <c r="D333" s="13" t="s">
        <v>9</v>
      </c>
      <c r="E333" s="13" t="s">
        <v>12</v>
      </c>
      <c r="F333">
        <v>13</v>
      </c>
      <c r="G333">
        <v>1486.45</v>
      </c>
      <c r="H333">
        <v>19323.849999999999</v>
      </c>
    </row>
    <row r="334" spans="1:8" x14ac:dyDescent="0.25">
      <c r="A334">
        <v>1333</v>
      </c>
      <c r="B334" s="1">
        <v>45461</v>
      </c>
      <c r="C334" s="13" t="s">
        <v>8</v>
      </c>
      <c r="D334" s="13" t="s">
        <v>15</v>
      </c>
      <c r="E334" s="13" t="s">
        <v>10</v>
      </c>
      <c r="F334">
        <v>11</v>
      </c>
      <c r="G334">
        <v>1077.5899999999999</v>
      </c>
      <c r="H334">
        <v>11853.49</v>
      </c>
    </row>
    <row r="335" spans="1:8" x14ac:dyDescent="0.25">
      <c r="A335">
        <v>1334</v>
      </c>
      <c r="B335" s="1">
        <v>45321</v>
      </c>
      <c r="C335" s="13" t="s">
        <v>11</v>
      </c>
      <c r="D335" s="13" t="s">
        <v>18</v>
      </c>
      <c r="E335" s="13" t="s">
        <v>21</v>
      </c>
      <c r="F335">
        <v>12</v>
      </c>
      <c r="G335">
        <v>502.2</v>
      </c>
      <c r="H335">
        <v>6026.4</v>
      </c>
    </row>
    <row r="336" spans="1:8" x14ac:dyDescent="0.25">
      <c r="A336">
        <v>1335</v>
      </c>
      <c r="B336" s="1">
        <v>45584</v>
      </c>
      <c r="C336" s="13" t="s">
        <v>13</v>
      </c>
      <c r="D336" s="13" t="s">
        <v>18</v>
      </c>
      <c r="E336" s="13" t="s">
        <v>10</v>
      </c>
      <c r="F336">
        <v>6</v>
      </c>
      <c r="G336">
        <v>443.64</v>
      </c>
      <c r="H336">
        <v>2661.84</v>
      </c>
    </row>
    <row r="337" spans="1:8" x14ac:dyDescent="0.25">
      <c r="A337">
        <v>1336</v>
      </c>
      <c r="B337" s="1">
        <v>45497</v>
      </c>
      <c r="C337" s="13" t="s">
        <v>17</v>
      </c>
      <c r="D337" s="13" t="s">
        <v>18</v>
      </c>
      <c r="E337" s="13" t="s">
        <v>21</v>
      </c>
      <c r="F337">
        <v>14</v>
      </c>
      <c r="G337">
        <v>1285.71</v>
      </c>
      <c r="H337">
        <v>17999.939999999999</v>
      </c>
    </row>
    <row r="338" spans="1:8" x14ac:dyDescent="0.25">
      <c r="A338">
        <v>1337</v>
      </c>
      <c r="B338" s="1">
        <v>45427</v>
      </c>
      <c r="C338" s="13" t="s">
        <v>8</v>
      </c>
      <c r="D338" s="13" t="s">
        <v>20</v>
      </c>
      <c r="E338" s="13" t="s">
        <v>16</v>
      </c>
      <c r="F338">
        <v>14</v>
      </c>
      <c r="G338">
        <v>215.32</v>
      </c>
      <c r="H338">
        <v>3014.48</v>
      </c>
    </row>
    <row r="339" spans="1:8" x14ac:dyDescent="0.25">
      <c r="A339">
        <v>1338</v>
      </c>
      <c r="B339" s="1">
        <v>45523</v>
      </c>
      <c r="C339" s="13" t="s">
        <v>8</v>
      </c>
      <c r="D339" s="13" t="s">
        <v>15</v>
      </c>
      <c r="E339" s="13" t="s">
        <v>14</v>
      </c>
      <c r="F339">
        <v>9</v>
      </c>
      <c r="G339">
        <v>370.61</v>
      </c>
      <c r="H339">
        <v>3335.49</v>
      </c>
    </row>
    <row r="340" spans="1:8" x14ac:dyDescent="0.25">
      <c r="A340">
        <v>1339</v>
      </c>
      <c r="B340" s="1">
        <v>45345</v>
      </c>
      <c r="C340" s="13" t="s">
        <v>11</v>
      </c>
      <c r="D340" s="13" t="s">
        <v>18</v>
      </c>
      <c r="E340" s="13" t="s">
        <v>12</v>
      </c>
      <c r="F340">
        <v>19</v>
      </c>
      <c r="G340">
        <v>776.05</v>
      </c>
      <c r="H340">
        <v>14744.95</v>
      </c>
    </row>
    <row r="341" spans="1:8" x14ac:dyDescent="0.25">
      <c r="A341">
        <v>1340</v>
      </c>
      <c r="B341" s="1">
        <v>45389</v>
      </c>
      <c r="C341" s="13" t="s">
        <v>11</v>
      </c>
      <c r="D341" s="13" t="s">
        <v>20</v>
      </c>
      <c r="E341" s="13" t="s">
        <v>16</v>
      </c>
      <c r="F341">
        <v>11</v>
      </c>
      <c r="G341">
        <v>872.83</v>
      </c>
      <c r="H341">
        <v>9601.130000000001</v>
      </c>
    </row>
    <row r="342" spans="1:8" x14ac:dyDescent="0.25">
      <c r="A342">
        <v>1341</v>
      </c>
      <c r="B342" s="1">
        <v>45527</v>
      </c>
      <c r="C342" s="13" t="s">
        <v>17</v>
      </c>
      <c r="D342" s="13" t="s">
        <v>15</v>
      </c>
      <c r="E342" s="13" t="s">
        <v>14</v>
      </c>
      <c r="F342">
        <v>12</v>
      </c>
      <c r="G342">
        <v>545.38</v>
      </c>
      <c r="H342">
        <v>6544.5599999999986</v>
      </c>
    </row>
    <row r="343" spans="1:8" x14ac:dyDescent="0.25">
      <c r="A343">
        <v>1342</v>
      </c>
      <c r="B343" s="1">
        <v>45580</v>
      </c>
      <c r="C343" s="13" t="s">
        <v>19</v>
      </c>
      <c r="D343" s="13" t="s">
        <v>20</v>
      </c>
      <c r="E343" s="13" t="s">
        <v>12</v>
      </c>
      <c r="F343">
        <v>18</v>
      </c>
      <c r="G343">
        <v>745.55</v>
      </c>
      <c r="H343">
        <v>13419.9</v>
      </c>
    </row>
    <row r="344" spans="1:8" x14ac:dyDescent="0.25">
      <c r="A344">
        <v>1343</v>
      </c>
      <c r="B344" s="1">
        <v>45390</v>
      </c>
      <c r="C344" s="13" t="s">
        <v>11</v>
      </c>
      <c r="D344" s="13" t="s">
        <v>15</v>
      </c>
      <c r="E344" s="13" t="s">
        <v>21</v>
      </c>
      <c r="F344">
        <v>15</v>
      </c>
      <c r="G344">
        <v>268.48</v>
      </c>
      <c r="H344">
        <v>4027.2</v>
      </c>
    </row>
    <row r="345" spans="1:8" x14ac:dyDescent="0.25">
      <c r="A345">
        <v>1344</v>
      </c>
      <c r="B345" s="1">
        <v>45328</v>
      </c>
      <c r="C345" s="13" t="s">
        <v>8</v>
      </c>
      <c r="D345" s="13" t="s">
        <v>18</v>
      </c>
      <c r="E345" s="13" t="s">
        <v>12</v>
      </c>
      <c r="F345">
        <v>19</v>
      </c>
      <c r="G345">
        <v>284.88</v>
      </c>
      <c r="H345">
        <v>5412.72</v>
      </c>
    </row>
    <row r="346" spans="1:8" x14ac:dyDescent="0.25">
      <c r="A346">
        <v>1345</v>
      </c>
      <c r="B346" s="1">
        <v>45325</v>
      </c>
      <c r="C346" s="13" t="s">
        <v>13</v>
      </c>
      <c r="D346" s="13" t="s">
        <v>18</v>
      </c>
      <c r="E346" s="13" t="s">
        <v>16</v>
      </c>
      <c r="F346">
        <v>14</v>
      </c>
      <c r="G346">
        <v>1027.1500000000001</v>
      </c>
      <c r="H346">
        <v>14380.1</v>
      </c>
    </row>
    <row r="347" spans="1:8" x14ac:dyDescent="0.25">
      <c r="A347">
        <v>1346</v>
      </c>
      <c r="B347" s="1">
        <v>45539</v>
      </c>
      <c r="C347" s="13" t="s">
        <v>17</v>
      </c>
      <c r="D347" s="13" t="s">
        <v>18</v>
      </c>
      <c r="E347" s="13" t="s">
        <v>16</v>
      </c>
      <c r="F347">
        <v>9</v>
      </c>
      <c r="G347">
        <v>73.22</v>
      </c>
      <c r="H347">
        <v>658.98</v>
      </c>
    </row>
    <row r="348" spans="1:8" x14ac:dyDescent="0.25">
      <c r="A348">
        <v>1347</v>
      </c>
      <c r="B348" s="1">
        <v>45495</v>
      </c>
      <c r="C348" s="13" t="s">
        <v>19</v>
      </c>
      <c r="D348" s="13" t="s">
        <v>9</v>
      </c>
      <c r="E348" s="13" t="s">
        <v>14</v>
      </c>
      <c r="F348">
        <v>8</v>
      </c>
      <c r="G348">
        <v>1229.76</v>
      </c>
      <c r="H348">
        <v>9838.08</v>
      </c>
    </row>
    <row r="349" spans="1:8" x14ac:dyDescent="0.25">
      <c r="A349">
        <v>1348</v>
      </c>
      <c r="B349" s="1">
        <v>45428</v>
      </c>
      <c r="C349" s="13" t="s">
        <v>17</v>
      </c>
      <c r="D349" s="13" t="s">
        <v>18</v>
      </c>
      <c r="E349" s="13" t="s">
        <v>16</v>
      </c>
      <c r="F349">
        <v>17</v>
      </c>
      <c r="G349">
        <v>391.38</v>
      </c>
      <c r="H349">
        <v>6653.46</v>
      </c>
    </row>
    <row r="350" spans="1:8" x14ac:dyDescent="0.25">
      <c r="A350">
        <v>1349</v>
      </c>
      <c r="B350" s="1">
        <v>45364</v>
      </c>
      <c r="C350" s="13" t="s">
        <v>19</v>
      </c>
      <c r="D350" s="13" t="s">
        <v>15</v>
      </c>
      <c r="E350" s="13" t="s">
        <v>21</v>
      </c>
      <c r="F350">
        <v>11</v>
      </c>
      <c r="G350">
        <v>570.63</v>
      </c>
      <c r="H350">
        <v>6276.93</v>
      </c>
    </row>
    <row r="351" spans="1:8" x14ac:dyDescent="0.25">
      <c r="A351">
        <v>1350</v>
      </c>
      <c r="B351" s="1">
        <v>45400</v>
      </c>
      <c r="C351" s="13" t="s">
        <v>13</v>
      </c>
      <c r="D351" s="13" t="s">
        <v>20</v>
      </c>
      <c r="E351" s="13" t="s">
        <v>14</v>
      </c>
      <c r="F351">
        <v>9</v>
      </c>
      <c r="G351">
        <v>1071.5</v>
      </c>
      <c r="H351">
        <v>9643.5</v>
      </c>
    </row>
    <row r="352" spans="1:8" x14ac:dyDescent="0.25">
      <c r="A352">
        <v>1351</v>
      </c>
      <c r="B352" s="1">
        <v>45495</v>
      </c>
      <c r="C352" s="13" t="s">
        <v>8</v>
      </c>
      <c r="D352" s="13" t="s">
        <v>15</v>
      </c>
      <c r="E352" s="13" t="s">
        <v>16</v>
      </c>
      <c r="F352">
        <v>15</v>
      </c>
      <c r="G352">
        <v>1323.25</v>
      </c>
      <c r="H352">
        <v>19848.75</v>
      </c>
    </row>
    <row r="353" spans="1:8" x14ac:dyDescent="0.25">
      <c r="A353">
        <v>1352</v>
      </c>
      <c r="B353" s="1">
        <v>45453</v>
      </c>
      <c r="C353" s="13" t="s">
        <v>17</v>
      </c>
      <c r="D353" s="13" t="s">
        <v>18</v>
      </c>
      <c r="E353" s="13" t="s">
        <v>16</v>
      </c>
      <c r="F353">
        <v>5</v>
      </c>
      <c r="G353">
        <v>1043.8900000000001</v>
      </c>
      <c r="H353">
        <v>5219.4500000000007</v>
      </c>
    </row>
    <row r="354" spans="1:8" x14ac:dyDescent="0.25">
      <c r="A354">
        <v>1353</v>
      </c>
      <c r="B354" s="1">
        <v>45491</v>
      </c>
      <c r="C354" s="13" t="s">
        <v>11</v>
      </c>
      <c r="D354" s="13" t="s">
        <v>20</v>
      </c>
      <c r="E354" s="13" t="s">
        <v>10</v>
      </c>
      <c r="F354">
        <v>5</v>
      </c>
      <c r="G354">
        <v>1040.29</v>
      </c>
      <c r="H354">
        <v>5201.45</v>
      </c>
    </row>
    <row r="355" spans="1:8" x14ac:dyDescent="0.25">
      <c r="A355">
        <v>1354</v>
      </c>
      <c r="B355" s="1">
        <v>45638</v>
      </c>
      <c r="C355" s="13" t="s">
        <v>13</v>
      </c>
      <c r="D355" s="13" t="s">
        <v>20</v>
      </c>
      <c r="E355" s="13" t="s">
        <v>14</v>
      </c>
      <c r="F355">
        <v>18</v>
      </c>
      <c r="G355">
        <v>1105.4000000000001</v>
      </c>
      <c r="H355">
        <v>19897.2</v>
      </c>
    </row>
    <row r="356" spans="1:8" x14ac:dyDescent="0.25">
      <c r="A356">
        <v>1355</v>
      </c>
      <c r="B356" s="1">
        <v>45296</v>
      </c>
      <c r="C356" s="13" t="s">
        <v>17</v>
      </c>
      <c r="D356" s="13" t="s">
        <v>20</v>
      </c>
      <c r="E356" s="13" t="s">
        <v>16</v>
      </c>
      <c r="F356">
        <v>3</v>
      </c>
      <c r="G356">
        <v>178.3</v>
      </c>
      <c r="H356">
        <v>534.90000000000009</v>
      </c>
    </row>
    <row r="357" spans="1:8" x14ac:dyDescent="0.25">
      <c r="A357">
        <v>1356</v>
      </c>
      <c r="B357" s="1">
        <v>45603</v>
      </c>
      <c r="C357" s="13" t="s">
        <v>11</v>
      </c>
      <c r="D357" s="13" t="s">
        <v>18</v>
      </c>
      <c r="E357" s="13" t="s">
        <v>21</v>
      </c>
      <c r="F357">
        <v>2</v>
      </c>
      <c r="G357">
        <v>1251.69</v>
      </c>
      <c r="H357">
        <v>2503.38</v>
      </c>
    </row>
    <row r="358" spans="1:8" x14ac:dyDescent="0.25">
      <c r="A358">
        <v>1357</v>
      </c>
      <c r="B358" s="1">
        <v>45530</v>
      </c>
      <c r="C358" s="13" t="s">
        <v>8</v>
      </c>
      <c r="D358" s="13" t="s">
        <v>9</v>
      </c>
      <c r="E358" s="13" t="s">
        <v>12</v>
      </c>
      <c r="F358">
        <v>4</v>
      </c>
      <c r="G358">
        <v>1378.19</v>
      </c>
      <c r="H358">
        <v>5512.76</v>
      </c>
    </row>
    <row r="359" spans="1:8" x14ac:dyDescent="0.25">
      <c r="A359">
        <v>1358</v>
      </c>
      <c r="B359" s="1">
        <v>45390</v>
      </c>
      <c r="C359" s="13" t="s">
        <v>8</v>
      </c>
      <c r="D359" s="13" t="s">
        <v>9</v>
      </c>
      <c r="E359" s="13" t="s">
        <v>10</v>
      </c>
      <c r="F359">
        <v>14</v>
      </c>
      <c r="G359">
        <v>53.64</v>
      </c>
      <c r="H359">
        <v>750.96</v>
      </c>
    </row>
    <row r="360" spans="1:8" x14ac:dyDescent="0.25">
      <c r="A360">
        <v>1359</v>
      </c>
      <c r="B360" s="1">
        <v>45292</v>
      </c>
      <c r="C360" s="13" t="s">
        <v>13</v>
      </c>
      <c r="D360" s="13" t="s">
        <v>18</v>
      </c>
      <c r="E360" s="13" t="s">
        <v>10</v>
      </c>
      <c r="F360">
        <v>3</v>
      </c>
      <c r="G360">
        <v>397.38</v>
      </c>
      <c r="H360">
        <v>1192.1400000000001</v>
      </c>
    </row>
    <row r="361" spans="1:8" x14ac:dyDescent="0.25">
      <c r="A361">
        <v>1360</v>
      </c>
      <c r="B361" s="1">
        <v>45572</v>
      </c>
      <c r="C361" s="13" t="s">
        <v>17</v>
      </c>
      <c r="D361" s="13" t="s">
        <v>9</v>
      </c>
      <c r="E361" s="13" t="s">
        <v>16</v>
      </c>
      <c r="F361">
        <v>4</v>
      </c>
      <c r="G361">
        <v>663.6</v>
      </c>
      <c r="H361">
        <v>2654.4</v>
      </c>
    </row>
    <row r="362" spans="1:8" x14ac:dyDescent="0.25">
      <c r="A362">
        <v>1361</v>
      </c>
      <c r="B362" s="1">
        <v>45475</v>
      </c>
      <c r="C362" s="13" t="s">
        <v>19</v>
      </c>
      <c r="D362" s="13" t="s">
        <v>15</v>
      </c>
      <c r="E362" s="13" t="s">
        <v>16</v>
      </c>
      <c r="F362">
        <v>8</v>
      </c>
      <c r="G362">
        <v>932.99</v>
      </c>
      <c r="H362">
        <v>7463.92</v>
      </c>
    </row>
    <row r="363" spans="1:8" x14ac:dyDescent="0.25">
      <c r="A363">
        <v>1362</v>
      </c>
      <c r="B363" s="1">
        <v>45533</v>
      </c>
      <c r="C363" s="13" t="s">
        <v>11</v>
      </c>
      <c r="D363" s="13" t="s">
        <v>9</v>
      </c>
      <c r="E363" s="13" t="s">
        <v>10</v>
      </c>
      <c r="F363">
        <v>15</v>
      </c>
      <c r="G363">
        <v>314.64999999999998</v>
      </c>
      <c r="H363">
        <v>4719.75</v>
      </c>
    </row>
    <row r="364" spans="1:8" x14ac:dyDescent="0.25">
      <c r="A364">
        <v>1363</v>
      </c>
      <c r="B364" s="1">
        <v>45639</v>
      </c>
      <c r="C364" s="13" t="s">
        <v>19</v>
      </c>
      <c r="D364" s="13" t="s">
        <v>18</v>
      </c>
      <c r="E364" s="13" t="s">
        <v>12</v>
      </c>
      <c r="F364">
        <v>18</v>
      </c>
      <c r="G364">
        <v>337.03</v>
      </c>
      <c r="H364">
        <v>6066.5399999999991</v>
      </c>
    </row>
    <row r="365" spans="1:8" x14ac:dyDescent="0.25">
      <c r="A365">
        <v>1364</v>
      </c>
      <c r="B365" s="1">
        <v>45339</v>
      </c>
      <c r="C365" s="13" t="s">
        <v>11</v>
      </c>
      <c r="D365" s="13" t="s">
        <v>20</v>
      </c>
      <c r="E365" s="13" t="s">
        <v>16</v>
      </c>
      <c r="F365">
        <v>18</v>
      </c>
      <c r="G365">
        <v>166.95</v>
      </c>
      <c r="H365">
        <v>3005.1</v>
      </c>
    </row>
    <row r="366" spans="1:8" x14ac:dyDescent="0.25">
      <c r="A366">
        <v>1365</v>
      </c>
      <c r="B366" s="1">
        <v>45599</v>
      </c>
      <c r="C366" s="13" t="s">
        <v>8</v>
      </c>
      <c r="D366" s="13" t="s">
        <v>15</v>
      </c>
      <c r="E366" s="13" t="s">
        <v>10</v>
      </c>
      <c r="F366">
        <v>8</v>
      </c>
      <c r="G366">
        <v>1158.54</v>
      </c>
      <c r="H366">
        <v>9268.32</v>
      </c>
    </row>
    <row r="367" spans="1:8" x14ac:dyDescent="0.25">
      <c r="A367">
        <v>1366</v>
      </c>
      <c r="B367" s="1">
        <v>45341</v>
      </c>
      <c r="C367" s="13" t="s">
        <v>11</v>
      </c>
      <c r="D367" s="13" t="s">
        <v>9</v>
      </c>
      <c r="E367" s="13" t="s">
        <v>10</v>
      </c>
      <c r="F367">
        <v>3</v>
      </c>
      <c r="G367">
        <v>522.77</v>
      </c>
      <c r="H367">
        <v>1568.31</v>
      </c>
    </row>
    <row r="368" spans="1:8" x14ac:dyDescent="0.25">
      <c r="A368">
        <v>1367</v>
      </c>
      <c r="B368" s="1">
        <v>45360</v>
      </c>
      <c r="C368" s="13" t="s">
        <v>19</v>
      </c>
      <c r="D368" s="13" t="s">
        <v>20</v>
      </c>
      <c r="E368" s="13" t="s">
        <v>14</v>
      </c>
      <c r="F368">
        <v>18</v>
      </c>
      <c r="G368">
        <v>940.9</v>
      </c>
      <c r="H368">
        <v>16936.2</v>
      </c>
    </row>
    <row r="369" spans="1:8" x14ac:dyDescent="0.25">
      <c r="A369">
        <v>1368</v>
      </c>
      <c r="B369" s="1">
        <v>45591</v>
      </c>
      <c r="C369" s="13" t="s">
        <v>8</v>
      </c>
      <c r="D369" s="13" t="s">
        <v>15</v>
      </c>
      <c r="E369" s="13" t="s">
        <v>10</v>
      </c>
      <c r="F369">
        <v>17</v>
      </c>
      <c r="G369">
        <v>736.59</v>
      </c>
      <c r="H369">
        <v>12522.03</v>
      </c>
    </row>
    <row r="370" spans="1:8" x14ac:dyDescent="0.25">
      <c r="A370">
        <v>1369</v>
      </c>
      <c r="B370" s="1">
        <v>45324</v>
      </c>
      <c r="C370" s="13" t="s">
        <v>13</v>
      </c>
      <c r="D370" s="13" t="s">
        <v>18</v>
      </c>
      <c r="E370" s="13" t="s">
        <v>10</v>
      </c>
      <c r="F370">
        <v>19</v>
      </c>
      <c r="G370">
        <v>1248.26</v>
      </c>
      <c r="H370">
        <v>23716.94</v>
      </c>
    </row>
    <row r="371" spans="1:8" x14ac:dyDescent="0.25">
      <c r="A371">
        <v>1370</v>
      </c>
      <c r="B371" s="1">
        <v>45550</v>
      </c>
      <c r="C371" s="13" t="s">
        <v>17</v>
      </c>
      <c r="D371" s="13" t="s">
        <v>20</v>
      </c>
      <c r="E371" s="13" t="s">
        <v>12</v>
      </c>
      <c r="F371">
        <v>18</v>
      </c>
      <c r="G371">
        <v>455.33</v>
      </c>
      <c r="H371">
        <v>8195.94</v>
      </c>
    </row>
    <row r="372" spans="1:8" x14ac:dyDescent="0.25">
      <c r="A372">
        <v>1371</v>
      </c>
      <c r="B372" s="1">
        <v>45631</v>
      </c>
      <c r="C372" s="13" t="s">
        <v>8</v>
      </c>
      <c r="D372" s="13" t="s">
        <v>9</v>
      </c>
      <c r="E372" s="13" t="s">
        <v>14</v>
      </c>
      <c r="F372">
        <v>15</v>
      </c>
      <c r="G372">
        <v>309.83</v>
      </c>
      <c r="H372">
        <v>4647.45</v>
      </c>
    </row>
    <row r="373" spans="1:8" x14ac:dyDescent="0.25">
      <c r="A373">
        <v>1372</v>
      </c>
      <c r="B373" s="1">
        <v>45618</v>
      </c>
      <c r="C373" s="13" t="s">
        <v>8</v>
      </c>
      <c r="D373" s="13" t="s">
        <v>15</v>
      </c>
      <c r="E373" s="13" t="s">
        <v>10</v>
      </c>
      <c r="F373">
        <v>19</v>
      </c>
      <c r="G373">
        <v>1001.01</v>
      </c>
      <c r="H373">
        <v>19019.189999999999</v>
      </c>
    </row>
    <row r="374" spans="1:8" x14ac:dyDescent="0.25">
      <c r="A374">
        <v>1373</v>
      </c>
      <c r="B374" s="1">
        <v>45653</v>
      </c>
      <c r="C374" s="13" t="s">
        <v>17</v>
      </c>
      <c r="D374" s="13" t="s">
        <v>18</v>
      </c>
      <c r="E374" s="13" t="s">
        <v>14</v>
      </c>
      <c r="F374">
        <v>19</v>
      </c>
      <c r="G374">
        <v>187.38</v>
      </c>
      <c r="H374">
        <v>3560.22</v>
      </c>
    </row>
    <row r="375" spans="1:8" x14ac:dyDescent="0.25">
      <c r="A375">
        <v>1374</v>
      </c>
      <c r="B375" s="1">
        <v>45454</v>
      </c>
      <c r="C375" s="13" t="s">
        <v>13</v>
      </c>
      <c r="D375" s="13" t="s">
        <v>9</v>
      </c>
      <c r="E375" s="13" t="s">
        <v>21</v>
      </c>
      <c r="F375">
        <v>17</v>
      </c>
      <c r="G375">
        <v>543.16</v>
      </c>
      <c r="H375">
        <v>9233.7199999999993</v>
      </c>
    </row>
    <row r="376" spans="1:8" x14ac:dyDescent="0.25">
      <c r="A376">
        <v>1375</v>
      </c>
      <c r="B376" s="1">
        <v>45336</v>
      </c>
      <c r="C376" s="13" t="s">
        <v>19</v>
      </c>
      <c r="D376" s="13" t="s">
        <v>15</v>
      </c>
      <c r="E376" s="13" t="s">
        <v>12</v>
      </c>
      <c r="F376">
        <v>19</v>
      </c>
      <c r="G376">
        <v>468.83</v>
      </c>
      <c r="H376">
        <v>8907.77</v>
      </c>
    </row>
    <row r="377" spans="1:8" x14ac:dyDescent="0.25">
      <c r="A377">
        <v>1376</v>
      </c>
      <c r="B377" s="1">
        <v>45391</v>
      </c>
      <c r="C377" s="13" t="s">
        <v>11</v>
      </c>
      <c r="D377" s="13" t="s">
        <v>18</v>
      </c>
      <c r="E377" s="13" t="s">
        <v>14</v>
      </c>
      <c r="F377">
        <v>4</v>
      </c>
      <c r="G377">
        <v>1323.67</v>
      </c>
      <c r="H377">
        <v>5294.68</v>
      </c>
    </row>
    <row r="378" spans="1:8" x14ac:dyDescent="0.25">
      <c r="A378">
        <v>1377</v>
      </c>
      <c r="B378" s="1">
        <v>45454</v>
      </c>
      <c r="C378" s="13" t="s">
        <v>11</v>
      </c>
      <c r="D378" s="13" t="s">
        <v>20</v>
      </c>
      <c r="E378" s="13" t="s">
        <v>14</v>
      </c>
      <c r="F378">
        <v>16</v>
      </c>
      <c r="G378">
        <v>477.47</v>
      </c>
      <c r="H378">
        <v>7639.52</v>
      </c>
    </row>
    <row r="379" spans="1:8" x14ac:dyDescent="0.25">
      <c r="A379">
        <v>1378</v>
      </c>
      <c r="B379" s="1">
        <v>45632</v>
      </c>
      <c r="C379" s="13" t="s">
        <v>8</v>
      </c>
      <c r="D379" s="13" t="s">
        <v>20</v>
      </c>
      <c r="E379" s="13" t="s">
        <v>21</v>
      </c>
      <c r="F379">
        <v>12</v>
      </c>
      <c r="G379">
        <v>934.85</v>
      </c>
      <c r="H379">
        <v>11218.2</v>
      </c>
    </row>
    <row r="380" spans="1:8" x14ac:dyDescent="0.25">
      <c r="A380">
        <v>1379</v>
      </c>
      <c r="B380" s="1">
        <v>45405</v>
      </c>
      <c r="C380" s="13" t="s">
        <v>13</v>
      </c>
      <c r="D380" s="13" t="s">
        <v>20</v>
      </c>
      <c r="E380" s="13" t="s">
        <v>14</v>
      </c>
      <c r="F380">
        <v>4</v>
      </c>
      <c r="G380">
        <v>1313.61</v>
      </c>
      <c r="H380">
        <v>5254.44</v>
      </c>
    </row>
    <row r="381" spans="1:8" x14ac:dyDescent="0.25">
      <c r="A381">
        <v>1380</v>
      </c>
      <c r="B381" s="1">
        <v>45568</v>
      </c>
      <c r="C381" s="13" t="s">
        <v>11</v>
      </c>
      <c r="D381" s="13" t="s">
        <v>20</v>
      </c>
      <c r="E381" s="13" t="s">
        <v>21</v>
      </c>
      <c r="F381">
        <v>6</v>
      </c>
      <c r="G381">
        <v>382.61</v>
      </c>
      <c r="H381">
        <v>2295.66</v>
      </c>
    </row>
    <row r="382" spans="1:8" x14ac:dyDescent="0.25">
      <c r="A382">
        <v>1381</v>
      </c>
      <c r="B382" s="1">
        <v>45380</v>
      </c>
      <c r="C382" s="13" t="s">
        <v>8</v>
      </c>
      <c r="D382" s="13" t="s">
        <v>20</v>
      </c>
      <c r="E382" s="13" t="s">
        <v>21</v>
      </c>
      <c r="F382">
        <v>10</v>
      </c>
      <c r="G382">
        <v>1114.49</v>
      </c>
      <c r="H382">
        <v>11144.9</v>
      </c>
    </row>
    <row r="383" spans="1:8" x14ac:dyDescent="0.25">
      <c r="A383">
        <v>1382</v>
      </c>
      <c r="B383" s="1">
        <v>45486</v>
      </c>
      <c r="C383" s="13" t="s">
        <v>8</v>
      </c>
      <c r="D383" s="13" t="s">
        <v>20</v>
      </c>
      <c r="E383" s="13" t="s">
        <v>16</v>
      </c>
      <c r="F383">
        <v>17</v>
      </c>
      <c r="G383">
        <v>1126.55</v>
      </c>
      <c r="H383">
        <v>19151.349999999999</v>
      </c>
    </row>
    <row r="384" spans="1:8" x14ac:dyDescent="0.25">
      <c r="A384">
        <v>1383</v>
      </c>
      <c r="B384" s="1">
        <v>45320</v>
      </c>
      <c r="C384" s="13" t="s">
        <v>17</v>
      </c>
      <c r="D384" s="13" t="s">
        <v>15</v>
      </c>
      <c r="E384" s="13" t="s">
        <v>21</v>
      </c>
      <c r="F384">
        <v>1</v>
      </c>
      <c r="G384">
        <v>722.71</v>
      </c>
      <c r="H384">
        <v>722.71</v>
      </c>
    </row>
    <row r="385" spans="1:8" x14ac:dyDescent="0.25">
      <c r="A385">
        <v>1384</v>
      </c>
      <c r="B385" s="1">
        <v>45443</v>
      </c>
      <c r="C385" s="13" t="s">
        <v>19</v>
      </c>
      <c r="D385" s="13" t="s">
        <v>20</v>
      </c>
      <c r="E385" s="13" t="s">
        <v>21</v>
      </c>
      <c r="F385">
        <v>7</v>
      </c>
      <c r="G385">
        <v>321.95999999999998</v>
      </c>
      <c r="H385">
        <v>2253.7199999999998</v>
      </c>
    </row>
    <row r="386" spans="1:8" x14ac:dyDescent="0.25">
      <c r="A386">
        <v>1385</v>
      </c>
      <c r="B386" s="1">
        <v>45424</v>
      </c>
      <c r="C386" s="13" t="s">
        <v>19</v>
      </c>
      <c r="D386" s="13" t="s">
        <v>9</v>
      </c>
      <c r="E386" s="13" t="s">
        <v>21</v>
      </c>
      <c r="F386">
        <v>4</v>
      </c>
      <c r="G386">
        <v>1059.52</v>
      </c>
      <c r="H386">
        <v>4238.08</v>
      </c>
    </row>
    <row r="387" spans="1:8" x14ac:dyDescent="0.25">
      <c r="A387">
        <v>1386</v>
      </c>
      <c r="B387" s="1">
        <v>45459</v>
      </c>
      <c r="C387" s="13" t="s">
        <v>19</v>
      </c>
      <c r="D387" s="13" t="s">
        <v>20</v>
      </c>
      <c r="E387" s="13" t="s">
        <v>10</v>
      </c>
      <c r="F387">
        <v>4</v>
      </c>
      <c r="G387">
        <v>841.81</v>
      </c>
      <c r="H387">
        <v>3367.24</v>
      </c>
    </row>
    <row r="388" spans="1:8" x14ac:dyDescent="0.25">
      <c r="A388">
        <v>1387</v>
      </c>
      <c r="B388" s="1">
        <v>45400</v>
      </c>
      <c r="C388" s="13" t="s">
        <v>11</v>
      </c>
      <c r="D388" s="13" t="s">
        <v>15</v>
      </c>
      <c r="E388" s="13" t="s">
        <v>14</v>
      </c>
      <c r="F388">
        <v>10</v>
      </c>
      <c r="G388">
        <v>597.97</v>
      </c>
      <c r="H388">
        <v>5979.7000000000007</v>
      </c>
    </row>
    <row r="389" spans="1:8" x14ac:dyDescent="0.25">
      <c r="A389">
        <v>1388</v>
      </c>
      <c r="B389" s="1">
        <v>45483</v>
      </c>
      <c r="C389" s="13" t="s">
        <v>8</v>
      </c>
      <c r="D389" s="13" t="s">
        <v>18</v>
      </c>
      <c r="E389" s="13" t="s">
        <v>21</v>
      </c>
      <c r="F389">
        <v>4</v>
      </c>
      <c r="G389">
        <v>121.61</v>
      </c>
      <c r="H389">
        <v>486.44</v>
      </c>
    </row>
    <row r="390" spans="1:8" x14ac:dyDescent="0.25">
      <c r="A390">
        <v>1389</v>
      </c>
      <c r="B390" s="1">
        <v>45443</v>
      </c>
      <c r="C390" s="13" t="s">
        <v>8</v>
      </c>
      <c r="D390" s="13" t="s">
        <v>15</v>
      </c>
      <c r="E390" s="13" t="s">
        <v>21</v>
      </c>
      <c r="F390">
        <v>5</v>
      </c>
      <c r="G390">
        <v>356.86</v>
      </c>
      <c r="H390">
        <v>1784.3</v>
      </c>
    </row>
    <row r="391" spans="1:8" x14ac:dyDescent="0.25">
      <c r="A391">
        <v>1390</v>
      </c>
      <c r="B391" s="1">
        <v>45514</v>
      </c>
      <c r="C391" s="13" t="s">
        <v>17</v>
      </c>
      <c r="D391" s="13" t="s">
        <v>15</v>
      </c>
      <c r="E391" s="13" t="s">
        <v>10</v>
      </c>
      <c r="F391">
        <v>3</v>
      </c>
      <c r="G391">
        <v>826.65</v>
      </c>
      <c r="H391">
        <v>2479.9499999999998</v>
      </c>
    </row>
    <row r="392" spans="1:8" x14ac:dyDescent="0.25">
      <c r="A392">
        <v>1391</v>
      </c>
      <c r="B392" s="1">
        <v>45350</v>
      </c>
      <c r="C392" s="13" t="s">
        <v>17</v>
      </c>
      <c r="D392" s="13" t="s">
        <v>15</v>
      </c>
      <c r="E392" s="13" t="s">
        <v>10</v>
      </c>
      <c r="F392">
        <v>6</v>
      </c>
      <c r="G392">
        <v>1099.92</v>
      </c>
      <c r="H392">
        <v>6599.52</v>
      </c>
    </row>
    <row r="393" spans="1:8" x14ac:dyDescent="0.25">
      <c r="A393">
        <v>1392</v>
      </c>
      <c r="B393" s="1">
        <v>45454</v>
      </c>
      <c r="C393" s="13" t="s">
        <v>8</v>
      </c>
      <c r="D393" s="13" t="s">
        <v>9</v>
      </c>
      <c r="E393" s="13" t="s">
        <v>14</v>
      </c>
      <c r="F393">
        <v>5</v>
      </c>
      <c r="G393">
        <v>1146.7</v>
      </c>
      <c r="H393">
        <v>5733.5</v>
      </c>
    </row>
    <row r="394" spans="1:8" x14ac:dyDescent="0.25">
      <c r="A394">
        <v>1393</v>
      </c>
      <c r="B394" s="1">
        <v>45554</v>
      </c>
      <c r="C394" s="13" t="s">
        <v>17</v>
      </c>
      <c r="D394" s="13" t="s">
        <v>20</v>
      </c>
      <c r="E394" s="13" t="s">
        <v>16</v>
      </c>
      <c r="F394">
        <v>10</v>
      </c>
      <c r="G394">
        <v>379.88</v>
      </c>
      <c r="H394">
        <v>3798.8</v>
      </c>
    </row>
    <row r="395" spans="1:8" x14ac:dyDescent="0.25">
      <c r="A395">
        <v>1394</v>
      </c>
      <c r="B395" s="1">
        <v>45435</v>
      </c>
      <c r="C395" s="13" t="s">
        <v>19</v>
      </c>
      <c r="D395" s="13" t="s">
        <v>20</v>
      </c>
      <c r="E395" s="13" t="s">
        <v>21</v>
      </c>
      <c r="F395">
        <v>6</v>
      </c>
      <c r="G395">
        <v>701.5</v>
      </c>
      <c r="H395">
        <v>4209</v>
      </c>
    </row>
    <row r="396" spans="1:8" x14ac:dyDescent="0.25">
      <c r="A396">
        <v>1395</v>
      </c>
      <c r="B396" s="1">
        <v>45516</v>
      </c>
      <c r="C396" s="13" t="s">
        <v>17</v>
      </c>
      <c r="D396" s="13" t="s">
        <v>9</v>
      </c>
      <c r="E396" s="13" t="s">
        <v>16</v>
      </c>
      <c r="F396">
        <v>7</v>
      </c>
      <c r="G396">
        <v>1307.8699999999999</v>
      </c>
      <c r="H396">
        <v>9155.09</v>
      </c>
    </row>
    <row r="397" spans="1:8" x14ac:dyDescent="0.25">
      <c r="A397">
        <v>1396</v>
      </c>
      <c r="B397" s="1">
        <v>45455</v>
      </c>
      <c r="C397" s="13" t="s">
        <v>13</v>
      </c>
      <c r="D397" s="13" t="s">
        <v>18</v>
      </c>
      <c r="E397" s="13" t="s">
        <v>10</v>
      </c>
      <c r="F397">
        <v>16</v>
      </c>
      <c r="G397">
        <v>763.78</v>
      </c>
      <c r="H397">
        <v>12220.48</v>
      </c>
    </row>
    <row r="398" spans="1:8" x14ac:dyDescent="0.25">
      <c r="A398">
        <v>1397</v>
      </c>
      <c r="B398" s="1">
        <v>45552</v>
      </c>
      <c r="C398" s="13" t="s">
        <v>8</v>
      </c>
      <c r="D398" s="13" t="s">
        <v>15</v>
      </c>
      <c r="E398" s="13" t="s">
        <v>10</v>
      </c>
      <c r="F398">
        <v>11</v>
      </c>
      <c r="G398">
        <v>172.28</v>
      </c>
      <c r="H398">
        <v>1895.08</v>
      </c>
    </row>
    <row r="399" spans="1:8" x14ac:dyDescent="0.25">
      <c r="A399">
        <v>1398</v>
      </c>
      <c r="B399" s="1">
        <v>45569</v>
      </c>
      <c r="C399" s="13" t="s">
        <v>17</v>
      </c>
      <c r="D399" s="13" t="s">
        <v>15</v>
      </c>
      <c r="E399" s="13" t="s">
        <v>12</v>
      </c>
      <c r="F399">
        <v>9</v>
      </c>
      <c r="G399">
        <v>1332.22</v>
      </c>
      <c r="H399">
        <v>11989.98</v>
      </c>
    </row>
    <row r="400" spans="1:8" x14ac:dyDescent="0.25">
      <c r="A400">
        <v>1399</v>
      </c>
      <c r="B400" s="1">
        <v>45323</v>
      </c>
      <c r="C400" s="13" t="s">
        <v>8</v>
      </c>
      <c r="D400" s="13" t="s">
        <v>15</v>
      </c>
      <c r="E400" s="13" t="s">
        <v>16</v>
      </c>
      <c r="F400">
        <v>14</v>
      </c>
      <c r="G400">
        <v>641.72</v>
      </c>
      <c r="H400">
        <v>8984.08</v>
      </c>
    </row>
    <row r="401" spans="1:8" x14ac:dyDescent="0.25">
      <c r="A401">
        <v>1400</v>
      </c>
      <c r="B401" s="1">
        <v>45354</v>
      </c>
      <c r="C401" s="13" t="s">
        <v>19</v>
      </c>
      <c r="D401" s="13" t="s">
        <v>18</v>
      </c>
      <c r="E401" s="13" t="s">
        <v>12</v>
      </c>
      <c r="F401">
        <v>19</v>
      </c>
      <c r="G401">
        <v>409.01</v>
      </c>
      <c r="H401">
        <v>7771.19</v>
      </c>
    </row>
    <row r="402" spans="1:8" x14ac:dyDescent="0.25">
      <c r="A402">
        <v>1401</v>
      </c>
      <c r="B402" s="1">
        <v>45306</v>
      </c>
      <c r="C402" s="13" t="s">
        <v>17</v>
      </c>
      <c r="D402" s="13" t="s">
        <v>9</v>
      </c>
      <c r="E402" s="13" t="s">
        <v>21</v>
      </c>
      <c r="F402">
        <v>6</v>
      </c>
      <c r="G402">
        <v>1080.6099999999999</v>
      </c>
      <c r="H402">
        <v>6483.66</v>
      </c>
    </row>
    <row r="403" spans="1:8" x14ac:dyDescent="0.25">
      <c r="A403">
        <v>1402</v>
      </c>
      <c r="B403" s="1">
        <v>45561</v>
      </c>
      <c r="C403" s="13" t="s">
        <v>8</v>
      </c>
      <c r="D403" s="13" t="s">
        <v>18</v>
      </c>
      <c r="E403" s="13" t="s">
        <v>14</v>
      </c>
      <c r="F403">
        <v>10</v>
      </c>
      <c r="G403">
        <v>864.05</v>
      </c>
      <c r="H403">
        <v>8640.5</v>
      </c>
    </row>
    <row r="404" spans="1:8" x14ac:dyDescent="0.25">
      <c r="A404">
        <v>1403</v>
      </c>
      <c r="B404" s="1">
        <v>45435</v>
      </c>
      <c r="C404" s="13" t="s">
        <v>8</v>
      </c>
      <c r="D404" s="13" t="s">
        <v>15</v>
      </c>
      <c r="E404" s="13" t="s">
        <v>21</v>
      </c>
      <c r="F404">
        <v>6</v>
      </c>
      <c r="G404">
        <v>1115.5</v>
      </c>
      <c r="H404">
        <v>6693</v>
      </c>
    </row>
    <row r="405" spans="1:8" x14ac:dyDescent="0.25">
      <c r="A405">
        <v>1404</v>
      </c>
      <c r="B405" s="1">
        <v>45469</v>
      </c>
      <c r="C405" s="13" t="s">
        <v>13</v>
      </c>
      <c r="D405" s="13" t="s">
        <v>9</v>
      </c>
      <c r="E405" s="13" t="s">
        <v>12</v>
      </c>
      <c r="F405">
        <v>5</v>
      </c>
      <c r="G405">
        <v>571.21</v>
      </c>
      <c r="H405">
        <v>2856.05</v>
      </c>
    </row>
    <row r="406" spans="1:8" x14ac:dyDescent="0.25">
      <c r="A406">
        <v>1405</v>
      </c>
      <c r="B406" s="1">
        <v>45453</v>
      </c>
      <c r="C406" s="13" t="s">
        <v>8</v>
      </c>
      <c r="D406" s="13" t="s">
        <v>20</v>
      </c>
      <c r="E406" s="13" t="s">
        <v>16</v>
      </c>
      <c r="F406">
        <v>7</v>
      </c>
      <c r="G406">
        <v>761.62</v>
      </c>
      <c r="H406">
        <v>5331.34</v>
      </c>
    </row>
    <row r="407" spans="1:8" x14ac:dyDescent="0.25">
      <c r="A407">
        <v>1406</v>
      </c>
      <c r="B407" s="1">
        <v>45564</v>
      </c>
      <c r="C407" s="13" t="s">
        <v>17</v>
      </c>
      <c r="D407" s="13" t="s">
        <v>18</v>
      </c>
      <c r="E407" s="13" t="s">
        <v>21</v>
      </c>
      <c r="F407">
        <v>1</v>
      </c>
      <c r="G407">
        <v>896.76</v>
      </c>
      <c r="H407">
        <v>896.76</v>
      </c>
    </row>
    <row r="408" spans="1:8" x14ac:dyDescent="0.25">
      <c r="A408">
        <v>1407</v>
      </c>
      <c r="B408" s="1">
        <v>45438</v>
      </c>
      <c r="C408" s="13" t="s">
        <v>19</v>
      </c>
      <c r="D408" s="13" t="s">
        <v>18</v>
      </c>
      <c r="E408" s="13" t="s">
        <v>21</v>
      </c>
      <c r="F408">
        <v>6</v>
      </c>
      <c r="G408">
        <v>1364.41</v>
      </c>
      <c r="H408">
        <v>8186.4600000000009</v>
      </c>
    </row>
    <row r="409" spans="1:8" x14ac:dyDescent="0.25">
      <c r="A409">
        <v>1408</v>
      </c>
      <c r="B409" s="1">
        <v>45368</v>
      </c>
      <c r="C409" s="13" t="s">
        <v>8</v>
      </c>
      <c r="D409" s="13" t="s">
        <v>9</v>
      </c>
      <c r="E409" s="13" t="s">
        <v>16</v>
      </c>
      <c r="F409">
        <v>13</v>
      </c>
      <c r="G409">
        <v>571.62</v>
      </c>
      <c r="H409">
        <v>7431.06</v>
      </c>
    </row>
    <row r="410" spans="1:8" x14ac:dyDescent="0.25">
      <c r="A410">
        <v>1409</v>
      </c>
      <c r="B410" s="1">
        <v>45397</v>
      </c>
      <c r="C410" s="13" t="s">
        <v>17</v>
      </c>
      <c r="D410" s="13" t="s">
        <v>9</v>
      </c>
      <c r="E410" s="13" t="s">
        <v>16</v>
      </c>
      <c r="F410">
        <v>8</v>
      </c>
      <c r="G410">
        <v>208.65</v>
      </c>
      <c r="H410">
        <v>1669.2</v>
      </c>
    </row>
    <row r="411" spans="1:8" x14ac:dyDescent="0.25">
      <c r="A411">
        <v>1410</v>
      </c>
      <c r="B411" s="1">
        <v>45557</v>
      </c>
      <c r="C411" s="13" t="s">
        <v>8</v>
      </c>
      <c r="D411" s="13" t="s">
        <v>20</v>
      </c>
      <c r="E411" s="13" t="s">
        <v>10</v>
      </c>
      <c r="F411">
        <v>1</v>
      </c>
      <c r="G411">
        <v>899.15</v>
      </c>
      <c r="H411">
        <v>899.15</v>
      </c>
    </row>
    <row r="412" spans="1:8" x14ac:dyDescent="0.25">
      <c r="A412">
        <v>1411</v>
      </c>
      <c r="B412" s="1">
        <v>45340</v>
      </c>
      <c r="C412" s="13" t="s">
        <v>8</v>
      </c>
      <c r="D412" s="13" t="s">
        <v>15</v>
      </c>
      <c r="E412" s="13" t="s">
        <v>21</v>
      </c>
      <c r="F412">
        <v>16</v>
      </c>
      <c r="G412">
        <v>889.93</v>
      </c>
      <c r="H412">
        <v>14238.88</v>
      </c>
    </row>
    <row r="413" spans="1:8" x14ac:dyDescent="0.25">
      <c r="A413">
        <v>1412</v>
      </c>
      <c r="B413" s="1">
        <v>45569</v>
      </c>
      <c r="C413" s="13" t="s">
        <v>19</v>
      </c>
      <c r="D413" s="13" t="s">
        <v>9</v>
      </c>
      <c r="E413" s="13" t="s">
        <v>14</v>
      </c>
      <c r="F413">
        <v>16</v>
      </c>
      <c r="G413">
        <v>1173.08</v>
      </c>
      <c r="H413">
        <v>18769.28</v>
      </c>
    </row>
    <row r="414" spans="1:8" x14ac:dyDescent="0.25">
      <c r="A414">
        <v>1413</v>
      </c>
      <c r="B414" s="1">
        <v>45614</v>
      </c>
      <c r="C414" s="13" t="s">
        <v>17</v>
      </c>
      <c r="D414" s="13" t="s">
        <v>20</v>
      </c>
      <c r="E414" s="13" t="s">
        <v>21</v>
      </c>
      <c r="F414">
        <v>6</v>
      </c>
      <c r="G414">
        <v>130.13</v>
      </c>
      <c r="H414">
        <v>780.78</v>
      </c>
    </row>
    <row r="415" spans="1:8" x14ac:dyDescent="0.25">
      <c r="A415">
        <v>1414</v>
      </c>
      <c r="B415" s="1">
        <v>45427</v>
      </c>
      <c r="C415" s="13" t="s">
        <v>17</v>
      </c>
      <c r="D415" s="13" t="s">
        <v>20</v>
      </c>
      <c r="E415" s="13" t="s">
        <v>10</v>
      </c>
      <c r="F415">
        <v>14</v>
      </c>
      <c r="G415">
        <v>766.36</v>
      </c>
      <c r="H415">
        <v>10729.04</v>
      </c>
    </row>
    <row r="416" spans="1:8" x14ac:dyDescent="0.25">
      <c r="A416">
        <v>1415</v>
      </c>
      <c r="B416" s="1">
        <v>45312</v>
      </c>
      <c r="C416" s="13" t="s">
        <v>13</v>
      </c>
      <c r="D416" s="13" t="s">
        <v>20</v>
      </c>
      <c r="E416" s="13" t="s">
        <v>12</v>
      </c>
      <c r="F416">
        <v>18</v>
      </c>
      <c r="G416">
        <v>351.72</v>
      </c>
      <c r="H416">
        <v>6330.9600000000009</v>
      </c>
    </row>
    <row r="417" spans="1:8" x14ac:dyDescent="0.25">
      <c r="A417">
        <v>1416</v>
      </c>
      <c r="B417" s="1">
        <v>45381</v>
      </c>
      <c r="C417" s="13" t="s">
        <v>11</v>
      </c>
      <c r="D417" s="13" t="s">
        <v>20</v>
      </c>
      <c r="E417" s="13" t="s">
        <v>10</v>
      </c>
      <c r="F417">
        <v>4</v>
      </c>
      <c r="G417">
        <v>693.22</v>
      </c>
      <c r="H417">
        <v>2772.88</v>
      </c>
    </row>
    <row r="418" spans="1:8" x14ac:dyDescent="0.25">
      <c r="A418">
        <v>1417</v>
      </c>
      <c r="B418" s="1">
        <v>45568</v>
      </c>
      <c r="C418" s="13" t="s">
        <v>19</v>
      </c>
      <c r="D418" s="13" t="s">
        <v>15</v>
      </c>
      <c r="E418" s="13" t="s">
        <v>14</v>
      </c>
      <c r="F418">
        <v>7</v>
      </c>
      <c r="G418">
        <v>1021.94</v>
      </c>
      <c r="H418">
        <v>7153.58</v>
      </c>
    </row>
    <row r="419" spans="1:8" x14ac:dyDescent="0.25">
      <c r="A419">
        <v>1418</v>
      </c>
      <c r="B419" s="1">
        <v>45308</v>
      </c>
      <c r="C419" s="13" t="s">
        <v>17</v>
      </c>
      <c r="D419" s="13" t="s">
        <v>9</v>
      </c>
      <c r="E419" s="13" t="s">
        <v>16</v>
      </c>
      <c r="F419">
        <v>11</v>
      </c>
      <c r="G419">
        <v>767.47</v>
      </c>
      <c r="H419">
        <v>8442.17</v>
      </c>
    </row>
    <row r="420" spans="1:8" x14ac:dyDescent="0.25">
      <c r="A420">
        <v>1419</v>
      </c>
      <c r="B420" s="1">
        <v>45655</v>
      </c>
      <c r="C420" s="13" t="s">
        <v>17</v>
      </c>
      <c r="D420" s="13" t="s">
        <v>20</v>
      </c>
      <c r="E420" s="13" t="s">
        <v>14</v>
      </c>
      <c r="F420">
        <v>18</v>
      </c>
      <c r="G420">
        <v>447.24</v>
      </c>
      <c r="H420">
        <v>8050.32</v>
      </c>
    </row>
    <row r="421" spans="1:8" x14ac:dyDescent="0.25">
      <c r="A421">
        <v>1420</v>
      </c>
      <c r="B421" s="1">
        <v>45578</v>
      </c>
      <c r="C421" s="13" t="s">
        <v>11</v>
      </c>
      <c r="D421" s="13" t="s">
        <v>9</v>
      </c>
      <c r="E421" s="13" t="s">
        <v>21</v>
      </c>
      <c r="F421">
        <v>9</v>
      </c>
      <c r="G421">
        <v>61.76</v>
      </c>
      <c r="H421">
        <v>555.84</v>
      </c>
    </row>
    <row r="422" spans="1:8" x14ac:dyDescent="0.25">
      <c r="A422">
        <v>1421</v>
      </c>
      <c r="B422" s="1">
        <v>45623</v>
      </c>
      <c r="C422" s="13" t="s">
        <v>13</v>
      </c>
      <c r="D422" s="13" t="s">
        <v>15</v>
      </c>
      <c r="E422" s="13" t="s">
        <v>12</v>
      </c>
      <c r="F422">
        <v>3</v>
      </c>
      <c r="G422">
        <v>449.41</v>
      </c>
      <c r="H422">
        <v>1348.23</v>
      </c>
    </row>
    <row r="423" spans="1:8" x14ac:dyDescent="0.25">
      <c r="A423">
        <v>1422</v>
      </c>
      <c r="B423" s="1">
        <v>45358</v>
      </c>
      <c r="C423" s="13" t="s">
        <v>11</v>
      </c>
      <c r="D423" s="13" t="s">
        <v>9</v>
      </c>
      <c r="E423" s="13" t="s">
        <v>12</v>
      </c>
      <c r="F423">
        <v>11</v>
      </c>
      <c r="G423">
        <v>1056.6300000000001</v>
      </c>
      <c r="H423">
        <v>11622.93</v>
      </c>
    </row>
    <row r="424" spans="1:8" x14ac:dyDescent="0.25">
      <c r="A424">
        <v>1423</v>
      </c>
      <c r="B424" s="1">
        <v>45424</v>
      </c>
      <c r="C424" s="13" t="s">
        <v>11</v>
      </c>
      <c r="D424" s="13" t="s">
        <v>18</v>
      </c>
      <c r="E424" s="13" t="s">
        <v>14</v>
      </c>
      <c r="F424">
        <v>4</v>
      </c>
      <c r="G424">
        <v>362.77</v>
      </c>
      <c r="H424">
        <v>1451.08</v>
      </c>
    </row>
    <row r="425" spans="1:8" x14ac:dyDescent="0.25">
      <c r="A425">
        <v>1424</v>
      </c>
      <c r="B425" s="1">
        <v>45626</v>
      </c>
      <c r="C425" s="13" t="s">
        <v>19</v>
      </c>
      <c r="D425" s="13" t="s">
        <v>15</v>
      </c>
      <c r="E425" s="13" t="s">
        <v>21</v>
      </c>
      <c r="F425">
        <v>1</v>
      </c>
      <c r="G425">
        <v>1467.89</v>
      </c>
      <c r="H425">
        <v>1467.89</v>
      </c>
    </row>
    <row r="426" spans="1:8" x14ac:dyDescent="0.25">
      <c r="A426">
        <v>1425</v>
      </c>
      <c r="B426" s="1">
        <v>45315</v>
      </c>
      <c r="C426" s="13" t="s">
        <v>8</v>
      </c>
      <c r="D426" s="13" t="s">
        <v>20</v>
      </c>
      <c r="E426" s="13" t="s">
        <v>14</v>
      </c>
      <c r="F426">
        <v>17</v>
      </c>
      <c r="G426">
        <v>1390.81</v>
      </c>
      <c r="H426">
        <v>23643.77</v>
      </c>
    </row>
    <row r="427" spans="1:8" x14ac:dyDescent="0.25">
      <c r="A427">
        <v>1426</v>
      </c>
      <c r="B427" s="1">
        <v>45530</v>
      </c>
      <c r="C427" s="13" t="s">
        <v>13</v>
      </c>
      <c r="D427" s="13" t="s">
        <v>18</v>
      </c>
      <c r="E427" s="13" t="s">
        <v>16</v>
      </c>
      <c r="F427">
        <v>16</v>
      </c>
      <c r="G427">
        <v>362.53</v>
      </c>
      <c r="H427">
        <v>5800.48</v>
      </c>
    </row>
    <row r="428" spans="1:8" x14ac:dyDescent="0.25">
      <c r="A428">
        <v>1427</v>
      </c>
      <c r="B428" s="1">
        <v>45402</v>
      </c>
      <c r="C428" s="13" t="s">
        <v>8</v>
      </c>
      <c r="D428" s="13" t="s">
        <v>9</v>
      </c>
      <c r="E428" s="13" t="s">
        <v>12</v>
      </c>
      <c r="F428">
        <v>17</v>
      </c>
      <c r="G428">
        <v>440.34</v>
      </c>
      <c r="H428">
        <v>7485.78</v>
      </c>
    </row>
    <row r="429" spans="1:8" x14ac:dyDescent="0.25">
      <c r="A429">
        <v>1428</v>
      </c>
      <c r="B429" s="1">
        <v>45478</v>
      </c>
      <c r="C429" s="13" t="s">
        <v>13</v>
      </c>
      <c r="D429" s="13" t="s">
        <v>20</v>
      </c>
      <c r="E429" s="13" t="s">
        <v>14</v>
      </c>
      <c r="F429">
        <v>1</v>
      </c>
      <c r="G429">
        <v>1235.55</v>
      </c>
      <c r="H429">
        <v>1235.55</v>
      </c>
    </row>
    <row r="430" spans="1:8" x14ac:dyDescent="0.25">
      <c r="A430">
        <v>1429</v>
      </c>
      <c r="B430" s="1">
        <v>45483</v>
      </c>
      <c r="C430" s="13" t="s">
        <v>19</v>
      </c>
      <c r="D430" s="13" t="s">
        <v>9</v>
      </c>
      <c r="E430" s="13" t="s">
        <v>12</v>
      </c>
      <c r="F430">
        <v>12</v>
      </c>
      <c r="G430">
        <v>970.25</v>
      </c>
      <c r="H430">
        <v>11643</v>
      </c>
    </row>
    <row r="431" spans="1:8" x14ac:dyDescent="0.25">
      <c r="A431">
        <v>1430</v>
      </c>
      <c r="B431" s="1">
        <v>45302</v>
      </c>
      <c r="C431" s="13" t="s">
        <v>13</v>
      </c>
      <c r="D431" s="13" t="s">
        <v>9</v>
      </c>
      <c r="E431" s="13" t="s">
        <v>14</v>
      </c>
      <c r="F431">
        <v>2</v>
      </c>
      <c r="G431">
        <v>1117.0899999999999</v>
      </c>
      <c r="H431">
        <v>2234.1799999999998</v>
      </c>
    </row>
    <row r="432" spans="1:8" x14ac:dyDescent="0.25">
      <c r="A432">
        <v>1431</v>
      </c>
      <c r="B432" s="1">
        <v>45610</v>
      </c>
      <c r="C432" s="13" t="s">
        <v>17</v>
      </c>
      <c r="D432" s="13" t="s">
        <v>18</v>
      </c>
      <c r="E432" s="13" t="s">
        <v>14</v>
      </c>
      <c r="F432">
        <v>7</v>
      </c>
      <c r="G432">
        <v>460.29</v>
      </c>
      <c r="H432">
        <v>3222.03</v>
      </c>
    </row>
    <row r="433" spans="1:8" x14ac:dyDescent="0.25">
      <c r="A433">
        <v>1432</v>
      </c>
      <c r="B433" s="1">
        <v>45560</v>
      </c>
      <c r="C433" s="13" t="s">
        <v>8</v>
      </c>
      <c r="D433" s="13" t="s">
        <v>9</v>
      </c>
      <c r="E433" s="13" t="s">
        <v>21</v>
      </c>
      <c r="F433">
        <v>15</v>
      </c>
      <c r="G433">
        <v>1023.16</v>
      </c>
      <c r="H433">
        <v>15347.4</v>
      </c>
    </row>
    <row r="434" spans="1:8" x14ac:dyDescent="0.25">
      <c r="A434">
        <v>1433</v>
      </c>
      <c r="B434" s="1">
        <v>45508</v>
      </c>
      <c r="C434" s="13" t="s">
        <v>17</v>
      </c>
      <c r="D434" s="13" t="s">
        <v>15</v>
      </c>
      <c r="E434" s="13" t="s">
        <v>14</v>
      </c>
      <c r="F434">
        <v>9</v>
      </c>
      <c r="G434">
        <v>76.11</v>
      </c>
      <c r="H434">
        <v>684.99</v>
      </c>
    </row>
    <row r="435" spans="1:8" x14ac:dyDescent="0.25">
      <c r="A435">
        <v>1434</v>
      </c>
      <c r="B435" s="1">
        <v>45528</v>
      </c>
      <c r="C435" s="13" t="s">
        <v>17</v>
      </c>
      <c r="D435" s="13" t="s">
        <v>9</v>
      </c>
      <c r="E435" s="13" t="s">
        <v>12</v>
      </c>
      <c r="F435">
        <v>15</v>
      </c>
      <c r="G435">
        <v>1352.12</v>
      </c>
      <c r="H435">
        <v>20281.8</v>
      </c>
    </row>
    <row r="436" spans="1:8" x14ac:dyDescent="0.25">
      <c r="A436">
        <v>1435</v>
      </c>
      <c r="B436" s="1">
        <v>45502</v>
      </c>
      <c r="C436" s="13" t="s">
        <v>13</v>
      </c>
      <c r="D436" s="13" t="s">
        <v>18</v>
      </c>
      <c r="E436" s="13" t="s">
        <v>10</v>
      </c>
      <c r="F436">
        <v>3</v>
      </c>
      <c r="G436">
        <v>894.61</v>
      </c>
      <c r="H436">
        <v>2683.83</v>
      </c>
    </row>
    <row r="437" spans="1:8" x14ac:dyDescent="0.25">
      <c r="A437">
        <v>1436</v>
      </c>
      <c r="B437" s="1">
        <v>45348</v>
      </c>
      <c r="C437" s="13" t="s">
        <v>13</v>
      </c>
      <c r="D437" s="13" t="s">
        <v>20</v>
      </c>
      <c r="E437" s="13" t="s">
        <v>12</v>
      </c>
      <c r="F437">
        <v>18</v>
      </c>
      <c r="G437">
        <v>174.33</v>
      </c>
      <c r="H437">
        <v>3137.94</v>
      </c>
    </row>
    <row r="438" spans="1:8" x14ac:dyDescent="0.25">
      <c r="A438">
        <v>1437</v>
      </c>
      <c r="B438" s="1">
        <v>45525</v>
      </c>
      <c r="C438" s="13" t="s">
        <v>13</v>
      </c>
      <c r="D438" s="13" t="s">
        <v>15</v>
      </c>
      <c r="E438" s="13" t="s">
        <v>21</v>
      </c>
      <c r="F438">
        <v>15</v>
      </c>
      <c r="G438">
        <v>1343.13</v>
      </c>
      <c r="H438">
        <v>20146.95</v>
      </c>
    </row>
    <row r="439" spans="1:8" x14ac:dyDescent="0.25">
      <c r="A439">
        <v>1438</v>
      </c>
      <c r="B439" s="1">
        <v>45652</v>
      </c>
      <c r="C439" s="13" t="s">
        <v>11</v>
      </c>
      <c r="D439" s="13" t="s">
        <v>18</v>
      </c>
      <c r="E439" s="13" t="s">
        <v>16</v>
      </c>
      <c r="F439">
        <v>19</v>
      </c>
      <c r="G439">
        <v>251.42</v>
      </c>
      <c r="H439">
        <v>4776.9799999999996</v>
      </c>
    </row>
    <row r="440" spans="1:8" x14ac:dyDescent="0.25">
      <c r="A440">
        <v>1439</v>
      </c>
      <c r="B440" s="1">
        <v>45627</v>
      </c>
      <c r="C440" s="13" t="s">
        <v>8</v>
      </c>
      <c r="D440" s="13" t="s">
        <v>15</v>
      </c>
      <c r="E440" s="13" t="s">
        <v>14</v>
      </c>
      <c r="F440">
        <v>19</v>
      </c>
      <c r="G440">
        <v>1258.6099999999999</v>
      </c>
      <c r="H440">
        <v>23913.59</v>
      </c>
    </row>
    <row r="441" spans="1:8" x14ac:dyDescent="0.25">
      <c r="A441">
        <v>1440</v>
      </c>
      <c r="B441" s="1">
        <v>45521</v>
      </c>
      <c r="C441" s="13" t="s">
        <v>13</v>
      </c>
      <c r="D441" s="13" t="s">
        <v>18</v>
      </c>
      <c r="E441" s="13" t="s">
        <v>10</v>
      </c>
      <c r="F441">
        <v>11</v>
      </c>
      <c r="G441">
        <v>720.68</v>
      </c>
      <c r="H441">
        <v>7927.48</v>
      </c>
    </row>
    <row r="442" spans="1:8" x14ac:dyDescent="0.25">
      <c r="A442">
        <v>1441</v>
      </c>
      <c r="B442" s="1">
        <v>45526</v>
      </c>
      <c r="C442" s="13" t="s">
        <v>19</v>
      </c>
      <c r="D442" s="13" t="s">
        <v>9</v>
      </c>
      <c r="E442" s="13" t="s">
        <v>21</v>
      </c>
      <c r="F442">
        <v>19</v>
      </c>
      <c r="G442">
        <v>1225.54</v>
      </c>
      <c r="H442">
        <v>23285.26</v>
      </c>
    </row>
    <row r="443" spans="1:8" x14ac:dyDescent="0.25">
      <c r="A443">
        <v>1442</v>
      </c>
      <c r="B443" s="1">
        <v>45325</v>
      </c>
      <c r="C443" s="13" t="s">
        <v>13</v>
      </c>
      <c r="D443" s="13" t="s">
        <v>15</v>
      </c>
      <c r="E443" s="13" t="s">
        <v>21</v>
      </c>
      <c r="F443">
        <v>16</v>
      </c>
      <c r="G443">
        <v>1415.34</v>
      </c>
      <c r="H443">
        <v>22645.439999999999</v>
      </c>
    </row>
    <row r="444" spans="1:8" x14ac:dyDescent="0.25">
      <c r="A444">
        <v>1443</v>
      </c>
      <c r="B444" s="1">
        <v>45405</v>
      </c>
      <c r="C444" s="13" t="s">
        <v>19</v>
      </c>
      <c r="D444" s="13" t="s">
        <v>15</v>
      </c>
      <c r="E444" s="13" t="s">
        <v>12</v>
      </c>
      <c r="F444">
        <v>12</v>
      </c>
      <c r="G444">
        <v>787.77</v>
      </c>
      <c r="H444">
        <v>9453.24</v>
      </c>
    </row>
    <row r="445" spans="1:8" x14ac:dyDescent="0.25">
      <c r="A445">
        <v>1444</v>
      </c>
      <c r="B445" s="1">
        <v>45343</v>
      </c>
      <c r="C445" s="13" t="s">
        <v>13</v>
      </c>
      <c r="D445" s="13" t="s">
        <v>18</v>
      </c>
      <c r="E445" s="13" t="s">
        <v>16</v>
      </c>
      <c r="F445">
        <v>1</v>
      </c>
      <c r="G445">
        <v>1027.6099999999999</v>
      </c>
      <c r="H445">
        <v>1027.6099999999999</v>
      </c>
    </row>
    <row r="446" spans="1:8" x14ac:dyDescent="0.25">
      <c r="A446">
        <v>1445</v>
      </c>
      <c r="B446" s="1">
        <v>45551</v>
      </c>
      <c r="C446" s="13" t="s">
        <v>8</v>
      </c>
      <c r="D446" s="13" t="s">
        <v>15</v>
      </c>
      <c r="E446" s="13" t="s">
        <v>14</v>
      </c>
      <c r="F446">
        <v>17</v>
      </c>
      <c r="G446">
        <v>595.52</v>
      </c>
      <c r="H446">
        <v>10123.84</v>
      </c>
    </row>
    <row r="447" spans="1:8" x14ac:dyDescent="0.25">
      <c r="A447">
        <v>1446</v>
      </c>
      <c r="B447" s="1">
        <v>45330</v>
      </c>
      <c r="C447" s="13" t="s">
        <v>11</v>
      </c>
      <c r="D447" s="13" t="s">
        <v>18</v>
      </c>
      <c r="E447" s="13" t="s">
        <v>12</v>
      </c>
      <c r="F447">
        <v>14</v>
      </c>
      <c r="G447">
        <v>743.4</v>
      </c>
      <c r="H447">
        <v>10407.6</v>
      </c>
    </row>
    <row r="448" spans="1:8" x14ac:dyDescent="0.25">
      <c r="A448">
        <v>1447</v>
      </c>
      <c r="B448" s="1">
        <v>45457</v>
      </c>
      <c r="C448" s="13" t="s">
        <v>13</v>
      </c>
      <c r="D448" s="13" t="s">
        <v>15</v>
      </c>
      <c r="E448" s="13" t="s">
        <v>16</v>
      </c>
      <c r="F448">
        <v>5</v>
      </c>
      <c r="G448">
        <v>1041.28</v>
      </c>
      <c r="H448">
        <v>5206.3999999999996</v>
      </c>
    </row>
    <row r="449" spans="1:8" x14ac:dyDescent="0.25">
      <c r="A449">
        <v>1448</v>
      </c>
      <c r="B449" s="1">
        <v>45375</v>
      </c>
      <c r="C449" s="13" t="s">
        <v>11</v>
      </c>
      <c r="D449" s="13" t="s">
        <v>9</v>
      </c>
      <c r="E449" s="13" t="s">
        <v>12</v>
      </c>
      <c r="F449">
        <v>18</v>
      </c>
      <c r="G449">
        <v>404.19</v>
      </c>
      <c r="H449">
        <v>7275.42</v>
      </c>
    </row>
    <row r="450" spans="1:8" x14ac:dyDescent="0.25">
      <c r="A450">
        <v>1449</v>
      </c>
      <c r="B450" s="1">
        <v>45579</v>
      </c>
      <c r="C450" s="13" t="s">
        <v>17</v>
      </c>
      <c r="D450" s="13" t="s">
        <v>15</v>
      </c>
      <c r="E450" s="13" t="s">
        <v>10</v>
      </c>
      <c r="F450">
        <v>7</v>
      </c>
      <c r="G450">
        <v>1264.28</v>
      </c>
      <c r="H450">
        <v>8849.9599999999991</v>
      </c>
    </row>
    <row r="451" spans="1:8" x14ac:dyDescent="0.25">
      <c r="A451">
        <v>1450</v>
      </c>
      <c r="B451" s="1">
        <v>45387</v>
      </c>
      <c r="C451" s="13" t="s">
        <v>11</v>
      </c>
      <c r="D451" s="13" t="s">
        <v>9</v>
      </c>
      <c r="E451" s="13" t="s">
        <v>16</v>
      </c>
      <c r="F451">
        <v>13</v>
      </c>
      <c r="G451">
        <v>1282.74</v>
      </c>
      <c r="H451">
        <v>16675.62</v>
      </c>
    </row>
    <row r="452" spans="1:8" x14ac:dyDescent="0.25">
      <c r="A452">
        <v>1451</v>
      </c>
      <c r="B452" s="1">
        <v>45393</v>
      </c>
      <c r="C452" s="13" t="s">
        <v>11</v>
      </c>
      <c r="D452" s="13" t="s">
        <v>15</v>
      </c>
      <c r="E452" s="13" t="s">
        <v>21</v>
      </c>
      <c r="F452">
        <v>17</v>
      </c>
      <c r="G452">
        <v>1498.55</v>
      </c>
      <c r="H452">
        <v>25475.35</v>
      </c>
    </row>
    <row r="453" spans="1:8" x14ac:dyDescent="0.25">
      <c r="A453">
        <v>1452</v>
      </c>
      <c r="B453" s="1">
        <v>45569</v>
      </c>
      <c r="C453" s="13" t="s">
        <v>19</v>
      </c>
      <c r="D453" s="13" t="s">
        <v>9</v>
      </c>
      <c r="E453" s="13" t="s">
        <v>16</v>
      </c>
      <c r="F453">
        <v>9</v>
      </c>
      <c r="G453">
        <v>176.06</v>
      </c>
      <c r="H453">
        <v>1584.54</v>
      </c>
    </row>
    <row r="454" spans="1:8" x14ac:dyDescent="0.25">
      <c r="A454">
        <v>1453</v>
      </c>
      <c r="B454" s="1">
        <v>45393</v>
      </c>
      <c r="C454" s="13" t="s">
        <v>11</v>
      </c>
      <c r="D454" s="13" t="s">
        <v>18</v>
      </c>
      <c r="E454" s="13" t="s">
        <v>21</v>
      </c>
      <c r="F454">
        <v>8</v>
      </c>
      <c r="G454">
        <v>330.39</v>
      </c>
      <c r="H454">
        <v>2643.12</v>
      </c>
    </row>
    <row r="455" spans="1:8" x14ac:dyDescent="0.25">
      <c r="A455">
        <v>1454</v>
      </c>
      <c r="B455" s="1">
        <v>45395</v>
      </c>
      <c r="C455" s="13" t="s">
        <v>17</v>
      </c>
      <c r="D455" s="13" t="s">
        <v>18</v>
      </c>
      <c r="E455" s="13" t="s">
        <v>12</v>
      </c>
      <c r="F455">
        <v>1</v>
      </c>
      <c r="G455">
        <v>1042.68</v>
      </c>
      <c r="H455">
        <v>1042.68</v>
      </c>
    </row>
    <row r="456" spans="1:8" x14ac:dyDescent="0.25">
      <c r="A456">
        <v>1455</v>
      </c>
      <c r="B456" s="1">
        <v>45627</v>
      </c>
      <c r="C456" s="13" t="s">
        <v>19</v>
      </c>
      <c r="D456" s="13" t="s">
        <v>9</v>
      </c>
      <c r="E456" s="13" t="s">
        <v>12</v>
      </c>
      <c r="F456">
        <v>16</v>
      </c>
      <c r="G456">
        <v>355.34</v>
      </c>
      <c r="H456">
        <v>5685.44</v>
      </c>
    </row>
    <row r="457" spans="1:8" x14ac:dyDescent="0.25">
      <c r="A457">
        <v>1456</v>
      </c>
      <c r="B457" s="1">
        <v>45353</v>
      </c>
      <c r="C457" s="13" t="s">
        <v>8</v>
      </c>
      <c r="D457" s="13" t="s">
        <v>15</v>
      </c>
      <c r="E457" s="13" t="s">
        <v>21</v>
      </c>
      <c r="F457">
        <v>8</v>
      </c>
      <c r="G457">
        <v>567.24</v>
      </c>
      <c r="H457">
        <v>4537.92</v>
      </c>
    </row>
    <row r="458" spans="1:8" x14ac:dyDescent="0.25">
      <c r="A458">
        <v>1457</v>
      </c>
      <c r="B458" s="1">
        <v>45391</v>
      </c>
      <c r="C458" s="13" t="s">
        <v>13</v>
      </c>
      <c r="D458" s="13" t="s">
        <v>15</v>
      </c>
      <c r="E458" s="13" t="s">
        <v>10</v>
      </c>
      <c r="F458">
        <v>3</v>
      </c>
      <c r="G458">
        <v>724.35</v>
      </c>
      <c r="H458">
        <v>2173.0500000000002</v>
      </c>
    </row>
    <row r="459" spans="1:8" x14ac:dyDescent="0.25">
      <c r="A459">
        <v>1458</v>
      </c>
      <c r="B459" s="1">
        <v>45567</v>
      </c>
      <c r="C459" s="13" t="s">
        <v>8</v>
      </c>
      <c r="D459" s="13" t="s">
        <v>15</v>
      </c>
      <c r="E459" s="13" t="s">
        <v>12</v>
      </c>
      <c r="F459">
        <v>4</v>
      </c>
      <c r="G459">
        <v>585.09</v>
      </c>
      <c r="H459">
        <v>2340.36</v>
      </c>
    </row>
    <row r="460" spans="1:8" x14ac:dyDescent="0.25">
      <c r="A460">
        <v>1459</v>
      </c>
      <c r="B460" s="1">
        <v>45585</v>
      </c>
      <c r="C460" s="13" t="s">
        <v>17</v>
      </c>
      <c r="D460" s="13" t="s">
        <v>20</v>
      </c>
      <c r="E460" s="13" t="s">
        <v>10</v>
      </c>
      <c r="F460">
        <v>3</v>
      </c>
      <c r="G460">
        <v>528.28</v>
      </c>
      <c r="H460">
        <v>1584.84</v>
      </c>
    </row>
    <row r="461" spans="1:8" x14ac:dyDescent="0.25">
      <c r="A461">
        <v>1460</v>
      </c>
      <c r="B461" s="1">
        <v>45303</v>
      </c>
      <c r="C461" s="13" t="s">
        <v>8</v>
      </c>
      <c r="D461" s="13" t="s">
        <v>15</v>
      </c>
      <c r="E461" s="13" t="s">
        <v>12</v>
      </c>
      <c r="F461">
        <v>5</v>
      </c>
      <c r="G461">
        <v>243.74</v>
      </c>
      <c r="H461">
        <v>1218.7</v>
      </c>
    </row>
    <row r="462" spans="1:8" x14ac:dyDescent="0.25">
      <c r="A462">
        <v>1461</v>
      </c>
      <c r="B462" s="1">
        <v>45454</v>
      </c>
      <c r="C462" s="13" t="s">
        <v>8</v>
      </c>
      <c r="D462" s="13" t="s">
        <v>9</v>
      </c>
      <c r="E462" s="13" t="s">
        <v>10</v>
      </c>
      <c r="F462">
        <v>17</v>
      </c>
      <c r="G462">
        <v>1471.09</v>
      </c>
      <c r="H462">
        <v>25008.53</v>
      </c>
    </row>
    <row r="463" spans="1:8" x14ac:dyDescent="0.25">
      <c r="A463">
        <v>1462</v>
      </c>
      <c r="B463" s="1">
        <v>45535</v>
      </c>
      <c r="C463" s="13" t="s">
        <v>11</v>
      </c>
      <c r="D463" s="13" t="s">
        <v>20</v>
      </c>
      <c r="E463" s="13" t="s">
        <v>14</v>
      </c>
      <c r="F463">
        <v>1</v>
      </c>
      <c r="G463">
        <v>1154.6600000000001</v>
      </c>
      <c r="H463">
        <v>1154.6600000000001</v>
      </c>
    </row>
    <row r="464" spans="1:8" x14ac:dyDescent="0.25">
      <c r="A464">
        <v>1463</v>
      </c>
      <c r="B464" s="1">
        <v>45322</v>
      </c>
      <c r="C464" s="13" t="s">
        <v>13</v>
      </c>
      <c r="D464" s="13" t="s">
        <v>20</v>
      </c>
      <c r="E464" s="13" t="s">
        <v>16</v>
      </c>
      <c r="F464">
        <v>7</v>
      </c>
      <c r="G464">
        <v>1165.0999999999999</v>
      </c>
      <c r="H464">
        <v>8155.6999999999989</v>
      </c>
    </row>
    <row r="465" spans="1:8" x14ac:dyDescent="0.25">
      <c r="A465">
        <v>1464</v>
      </c>
      <c r="B465" s="1">
        <v>45645</v>
      </c>
      <c r="C465" s="13" t="s">
        <v>11</v>
      </c>
      <c r="D465" s="13" t="s">
        <v>20</v>
      </c>
      <c r="E465" s="13" t="s">
        <v>14</v>
      </c>
      <c r="F465">
        <v>15</v>
      </c>
      <c r="G465">
        <v>80.58</v>
      </c>
      <c r="H465">
        <v>1208.7</v>
      </c>
    </row>
    <row r="466" spans="1:8" x14ac:dyDescent="0.25">
      <c r="A466">
        <v>1465</v>
      </c>
      <c r="B466" s="1">
        <v>45645</v>
      </c>
      <c r="C466" s="13" t="s">
        <v>11</v>
      </c>
      <c r="D466" s="13" t="s">
        <v>18</v>
      </c>
      <c r="E466" s="13" t="s">
        <v>10</v>
      </c>
      <c r="F466">
        <v>10</v>
      </c>
      <c r="G466">
        <v>65.95</v>
      </c>
      <c r="H466">
        <v>659.5</v>
      </c>
    </row>
    <row r="467" spans="1:8" x14ac:dyDescent="0.25">
      <c r="A467">
        <v>1466</v>
      </c>
      <c r="B467" s="1">
        <v>45437</v>
      </c>
      <c r="C467" s="13" t="s">
        <v>17</v>
      </c>
      <c r="D467" s="13" t="s">
        <v>9</v>
      </c>
      <c r="E467" s="13" t="s">
        <v>21</v>
      </c>
      <c r="F467">
        <v>10</v>
      </c>
      <c r="G467">
        <v>817.57</v>
      </c>
      <c r="H467">
        <v>8175.7000000000007</v>
      </c>
    </row>
    <row r="468" spans="1:8" x14ac:dyDescent="0.25">
      <c r="A468">
        <v>1467</v>
      </c>
      <c r="B468" s="1">
        <v>45629</v>
      </c>
      <c r="C468" s="13" t="s">
        <v>17</v>
      </c>
      <c r="D468" s="13" t="s">
        <v>18</v>
      </c>
      <c r="E468" s="13" t="s">
        <v>21</v>
      </c>
      <c r="F468">
        <v>1</v>
      </c>
      <c r="G468">
        <v>228</v>
      </c>
      <c r="H468">
        <v>228</v>
      </c>
    </row>
    <row r="469" spans="1:8" x14ac:dyDescent="0.25">
      <c r="A469">
        <v>1468</v>
      </c>
      <c r="B469" s="1">
        <v>45518</v>
      </c>
      <c r="C469" s="13" t="s">
        <v>8</v>
      </c>
      <c r="D469" s="13" t="s">
        <v>9</v>
      </c>
      <c r="E469" s="13" t="s">
        <v>12</v>
      </c>
      <c r="F469">
        <v>19</v>
      </c>
      <c r="G469">
        <v>1170.6400000000001</v>
      </c>
      <c r="H469">
        <v>22242.16</v>
      </c>
    </row>
    <row r="470" spans="1:8" x14ac:dyDescent="0.25">
      <c r="A470">
        <v>1469</v>
      </c>
      <c r="B470" s="1">
        <v>45621</v>
      </c>
      <c r="C470" s="13" t="s">
        <v>17</v>
      </c>
      <c r="D470" s="13" t="s">
        <v>15</v>
      </c>
      <c r="E470" s="13" t="s">
        <v>14</v>
      </c>
      <c r="F470">
        <v>4</v>
      </c>
      <c r="G470">
        <v>957.57</v>
      </c>
      <c r="H470">
        <v>3830.28</v>
      </c>
    </row>
    <row r="471" spans="1:8" x14ac:dyDescent="0.25">
      <c r="A471">
        <v>1470</v>
      </c>
      <c r="B471" s="1">
        <v>45500</v>
      </c>
      <c r="C471" s="13" t="s">
        <v>19</v>
      </c>
      <c r="D471" s="13" t="s">
        <v>9</v>
      </c>
      <c r="E471" s="13" t="s">
        <v>12</v>
      </c>
      <c r="F471">
        <v>10</v>
      </c>
      <c r="G471">
        <v>162.62</v>
      </c>
      <c r="H471">
        <v>1626.2</v>
      </c>
    </row>
    <row r="472" spans="1:8" x14ac:dyDescent="0.25">
      <c r="A472">
        <v>1471</v>
      </c>
      <c r="B472" s="1">
        <v>45523</v>
      </c>
      <c r="C472" s="13" t="s">
        <v>17</v>
      </c>
      <c r="D472" s="13" t="s">
        <v>9</v>
      </c>
      <c r="E472" s="13" t="s">
        <v>14</v>
      </c>
      <c r="F472">
        <v>9</v>
      </c>
      <c r="G472">
        <v>1410.97</v>
      </c>
      <c r="H472">
        <v>12698.73</v>
      </c>
    </row>
    <row r="473" spans="1:8" x14ac:dyDescent="0.25">
      <c r="A473">
        <v>1472</v>
      </c>
      <c r="B473" s="1">
        <v>45519</v>
      </c>
      <c r="C473" s="13" t="s">
        <v>17</v>
      </c>
      <c r="D473" s="13" t="s">
        <v>20</v>
      </c>
      <c r="E473" s="13" t="s">
        <v>14</v>
      </c>
      <c r="F473">
        <v>12</v>
      </c>
      <c r="G473">
        <v>155.72</v>
      </c>
      <c r="H473">
        <v>1868.64</v>
      </c>
    </row>
    <row r="474" spans="1:8" x14ac:dyDescent="0.25">
      <c r="A474">
        <v>1473</v>
      </c>
      <c r="B474" s="1">
        <v>45426</v>
      </c>
      <c r="C474" s="13" t="s">
        <v>19</v>
      </c>
      <c r="D474" s="13" t="s">
        <v>15</v>
      </c>
      <c r="E474" s="13" t="s">
        <v>10</v>
      </c>
      <c r="F474">
        <v>7</v>
      </c>
      <c r="G474">
        <v>466.87</v>
      </c>
      <c r="H474">
        <v>3268.09</v>
      </c>
    </row>
    <row r="475" spans="1:8" x14ac:dyDescent="0.25">
      <c r="A475">
        <v>1474</v>
      </c>
      <c r="B475" s="1">
        <v>45434</v>
      </c>
      <c r="C475" s="13" t="s">
        <v>17</v>
      </c>
      <c r="D475" s="13" t="s">
        <v>18</v>
      </c>
      <c r="E475" s="13" t="s">
        <v>14</v>
      </c>
      <c r="F475">
        <v>6</v>
      </c>
      <c r="G475">
        <v>362.81</v>
      </c>
      <c r="H475">
        <v>2176.86</v>
      </c>
    </row>
    <row r="476" spans="1:8" x14ac:dyDescent="0.25">
      <c r="A476">
        <v>1475</v>
      </c>
      <c r="B476" s="1">
        <v>45293</v>
      </c>
      <c r="C476" s="13" t="s">
        <v>13</v>
      </c>
      <c r="D476" s="13" t="s">
        <v>15</v>
      </c>
      <c r="E476" s="13" t="s">
        <v>14</v>
      </c>
      <c r="F476">
        <v>10</v>
      </c>
      <c r="G476">
        <v>1414.59</v>
      </c>
      <c r="H476">
        <v>14145.9</v>
      </c>
    </row>
    <row r="477" spans="1:8" x14ac:dyDescent="0.25">
      <c r="A477">
        <v>1476</v>
      </c>
      <c r="B477" s="1">
        <v>45314</v>
      </c>
      <c r="C477" s="13" t="s">
        <v>11</v>
      </c>
      <c r="D477" s="13" t="s">
        <v>15</v>
      </c>
      <c r="E477" s="13" t="s">
        <v>21</v>
      </c>
      <c r="F477">
        <v>6</v>
      </c>
      <c r="G477">
        <v>1056.52</v>
      </c>
      <c r="H477">
        <v>6339.12</v>
      </c>
    </row>
    <row r="478" spans="1:8" x14ac:dyDescent="0.25">
      <c r="A478">
        <v>1477</v>
      </c>
      <c r="B478" s="1">
        <v>45443</v>
      </c>
      <c r="C478" s="13" t="s">
        <v>8</v>
      </c>
      <c r="D478" s="13" t="s">
        <v>9</v>
      </c>
      <c r="E478" s="13" t="s">
        <v>21</v>
      </c>
      <c r="F478">
        <v>3</v>
      </c>
      <c r="G478">
        <v>1243.8699999999999</v>
      </c>
      <c r="H478">
        <v>3731.61</v>
      </c>
    </row>
    <row r="479" spans="1:8" x14ac:dyDescent="0.25">
      <c r="A479">
        <v>1478</v>
      </c>
      <c r="B479" s="1">
        <v>45429</v>
      </c>
      <c r="C479" s="13" t="s">
        <v>11</v>
      </c>
      <c r="D479" s="13" t="s">
        <v>18</v>
      </c>
      <c r="E479" s="13" t="s">
        <v>12</v>
      </c>
      <c r="F479">
        <v>9</v>
      </c>
      <c r="G479">
        <v>301.42</v>
      </c>
      <c r="H479">
        <v>2712.78</v>
      </c>
    </row>
    <row r="480" spans="1:8" x14ac:dyDescent="0.25">
      <c r="A480">
        <v>1479</v>
      </c>
      <c r="B480" s="1">
        <v>45634</v>
      </c>
      <c r="C480" s="13" t="s">
        <v>13</v>
      </c>
      <c r="D480" s="13" t="s">
        <v>20</v>
      </c>
      <c r="E480" s="13" t="s">
        <v>21</v>
      </c>
      <c r="F480">
        <v>2</v>
      </c>
      <c r="G480">
        <v>1091.8699999999999</v>
      </c>
      <c r="H480">
        <v>2183.7399999999998</v>
      </c>
    </row>
    <row r="481" spans="1:8" x14ac:dyDescent="0.25">
      <c r="A481">
        <v>1480</v>
      </c>
      <c r="B481" s="1">
        <v>45430</v>
      </c>
      <c r="C481" s="13" t="s">
        <v>17</v>
      </c>
      <c r="D481" s="13" t="s">
        <v>15</v>
      </c>
      <c r="E481" s="13" t="s">
        <v>12</v>
      </c>
      <c r="F481">
        <v>13</v>
      </c>
      <c r="G481">
        <v>1089.52</v>
      </c>
      <c r="H481">
        <v>14163.76</v>
      </c>
    </row>
    <row r="482" spans="1:8" x14ac:dyDescent="0.25">
      <c r="A482">
        <v>1481</v>
      </c>
      <c r="B482" s="1">
        <v>45550</v>
      </c>
      <c r="C482" s="13" t="s">
        <v>19</v>
      </c>
      <c r="D482" s="13" t="s">
        <v>20</v>
      </c>
      <c r="E482" s="13" t="s">
        <v>16</v>
      </c>
      <c r="F482">
        <v>6</v>
      </c>
      <c r="G482">
        <v>536.35</v>
      </c>
      <c r="H482">
        <v>3218.1</v>
      </c>
    </row>
    <row r="483" spans="1:8" x14ac:dyDescent="0.25">
      <c r="A483">
        <v>1482</v>
      </c>
      <c r="B483" s="1">
        <v>45325</v>
      </c>
      <c r="C483" s="13" t="s">
        <v>8</v>
      </c>
      <c r="D483" s="13" t="s">
        <v>20</v>
      </c>
      <c r="E483" s="13" t="s">
        <v>14</v>
      </c>
      <c r="F483">
        <v>12</v>
      </c>
      <c r="G483">
        <v>1157.5899999999999</v>
      </c>
      <c r="H483">
        <v>13891.08</v>
      </c>
    </row>
    <row r="484" spans="1:8" x14ac:dyDescent="0.25">
      <c r="A484">
        <v>1483</v>
      </c>
      <c r="B484" s="1">
        <v>45485</v>
      </c>
      <c r="C484" s="13" t="s">
        <v>19</v>
      </c>
      <c r="D484" s="13" t="s">
        <v>9</v>
      </c>
      <c r="E484" s="13" t="s">
        <v>21</v>
      </c>
      <c r="F484">
        <v>9</v>
      </c>
      <c r="G484">
        <v>1469.13</v>
      </c>
      <c r="H484">
        <v>13222.17</v>
      </c>
    </row>
    <row r="485" spans="1:8" x14ac:dyDescent="0.25">
      <c r="A485">
        <v>1484</v>
      </c>
      <c r="B485" s="1">
        <v>45352</v>
      </c>
      <c r="C485" s="13" t="s">
        <v>13</v>
      </c>
      <c r="D485" s="13" t="s">
        <v>20</v>
      </c>
      <c r="E485" s="13" t="s">
        <v>14</v>
      </c>
      <c r="F485">
        <v>4</v>
      </c>
      <c r="G485">
        <v>1395.66</v>
      </c>
      <c r="H485">
        <v>5582.64</v>
      </c>
    </row>
    <row r="486" spans="1:8" x14ac:dyDescent="0.25">
      <c r="A486">
        <v>1485</v>
      </c>
      <c r="B486" s="1">
        <v>45483</v>
      </c>
      <c r="C486" s="13" t="s">
        <v>17</v>
      </c>
      <c r="D486" s="13" t="s">
        <v>9</v>
      </c>
      <c r="E486" s="13" t="s">
        <v>10</v>
      </c>
      <c r="F486">
        <v>19</v>
      </c>
      <c r="G486">
        <v>1170.3</v>
      </c>
      <c r="H486">
        <v>22235.7</v>
      </c>
    </row>
    <row r="487" spans="1:8" x14ac:dyDescent="0.25">
      <c r="A487">
        <v>1486</v>
      </c>
      <c r="B487" s="1">
        <v>45477</v>
      </c>
      <c r="C487" s="13" t="s">
        <v>19</v>
      </c>
      <c r="D487" s="13" t="s">
        <v>20</v>
      </c>
      <c r="E487" s="13" t="s">
        <v>14</v>
      </c>
      <c r="F487">
        <v>14</v>
      </c>
      <c r="G487">
        <v>137.41</v>
      </c>
      <c r="H487">
        <v>1923.74</v>
      </c>
    </row>
    <row r="488" spans="1:8" x14ac:dyDescent="0.25">
      <c r="A488">
        <v>1487</v>
      </c>
      <c r="B488" s="1">
        <v>45441</v>
      </c>
      <c r="C488" s="13" t="s">
        <v>13</v>
      </c>
      <c r="D488" s="13" t="s">
        <v>15</v>
      </c>
      <c r="E488" s="13" t="s">
        <v>21</v>
      </c>
      <c r="F488">
        <v>8</v>
      </c>
      <c r="G488">
        <v>943.53</v>
      </c>
      <c r="H488">
        <v>7548.24</v>
      </c>
    </row>
    <row r="489" spans="1:8" x14ac:dyDescent="0.25">
      <c r="A489">
        <v>1488</v>
      </c>
      <c r="B489" s="1">
        <v>45535</v>
      </c>
      <c r="C489" s="13" t="s">
        <v>8</v>
      </c>
      <c r="D489" s="13" t="s">
        <v>18</v>
      </c>
      <c r="E489" s="13" t="s">
        <v>16</v>
      </c>
      <c r="F489">
        <v>19</v>
      </c>
      <c r="G489">
        <v>51.31</v>
      </c>
      <c r="H489">
        <v>974.8900000000001</v>
      </c>
    </row>
    <row r="490" spans="1:8" x14ac:dyDescent="0.25">
      <c r="A490">
        <v>1489</v>
      </c>
      <c r="B490" s="1">
        <v>45551</v>
      </c>
      <c r="C490" s="13" t="s">
        <v>13</v>
      </c>
      <c r="D490" s="13" t="s">
        <v>9</v>
      </c>
      <c r="E490" s="13" t="s">
        <v>12</v>
      </c>
      <c r="F490">
        <v>18</v>
      </c>
      <c r="G490">
        <v>1184.42</v>
      </c>
      <c r="H490">
        <v>21319.56</v>
      </c>
    </row>
    <row r="491" spans="1:8" x14ac:dyDescent="0.25">
      <c r="A491">
        <v>1490</v>
      </c>
      <c r="B491" s="1">
        <v>45419</v>
      </c>
      <c r="C491" s="13" t="s">
        <v>17</v>
      </c>
      <c r="D491" s="13" t="s">
        <v>15</v>
      </c>
      <c r="E491" s="13" t="s">
        <v>21</v>
      </c>
      <c r="F491">
        <v>10</v>
      </c>
      <c r="G491">
        <v>88.69</v>
      </c>
      <c r="H491">
        <v>886.9</v>
      </c>
    </row>
    <row r="492" spans="1:8" x14ac:dyDescent="0.25">
      <c r="A492">
        <v>1491</v>
      </c>
      <c r="B492" s="1">
        <v>45459</v>
      </c>
      <c r="C492" s="13" t="s">
        <v>19</v>
      </c>
      <c r="D492" s="13" t="s">
        <v>18</v>
      </c>
      <c r="E492" s="13" t="s">
        <v>16</v>
      </c>
      <c r="F492">
        <v>5</v>
      </c>
      <c r="G492">
        <v>1464.55</v>
      </c>
      <c r="H492">
        <v>7322.75</v>
      </c>
    </row>
    <row r="493" spans="1:8" x14ac:dyDescent="0.25">
      <c r="A493">
        <v>1492</v>
      </c>
      <c r="B493" s="1">
        <v>45546</v>
      </c>
      <c r="C493" s="13" t="s">
        <v>13</v>
      </c>
      <c r="D493" s="13" t="s">
        <v>20</v>
      </c>
      <c r="E493" s="13" t="s">
        <v>10</v>
      </c>
      <c r="F493">
        <v>11</v>
      </c>
      <c r="G493">
        <v>498.49</v>
      </c>
      <c r="H493">
        <v>5483.39</v>
      </c>
    </row>
    <row r="494" spans="1:8" x14ac:dyDescent="0.25">
      <c r="A494">
        <v>1493</v>
      </c>
      <c r="B494" s="1">
        <v>45427</v>
      </c>
      <c r="C494" s="13" t="s">
        <v>11</v>
      </c>
      <c r="D494" s="13" t="s">
        <v>18</v>
      </c>
      <c r="E494" s="13" t="s">
        <v>14</v>
      </c>
      <c r="F494">
        <v>2</v>
      </c>
      <c r="G494">
        <v>967.97</v>
      </c>
      <c r="H494">
        <v>1935.94</v>
      </c>
    </row>
    <row r="495" spans="1:8" x14ac:dyDescent="0.25">
      <c r="A495">
        <v>1494</v>
      </c>
      <c r="B495" s="1">
        <v>45433</v>
      </c>
      <c r="C495" s="13" t="s">
        <v>17</v>
      </c>
      <c r="D495" s="13" t="s">
        <v>18</v>
      </c>
      <c r="E495" s="13" t="s">
        <v>14</v>
      </c>
      <c r="F495">
        <v>14</v>
      </c>
      <c r="G495">
        <v>878.77</v>
      </c>
      <c r="H495">
        <v>12302.78</v>
      </c>
    </row>
    <row r="496" spans="1:8" x14ac:dyDescent="0.25">
      <c r="A496">
        <v>1495</v>
      </c>
      <c r="B496" s="1">
        <v>45371</v>
      </c>
      <c r="C496" s="13" t="s">
        <v>17</v>
      </c>
      <c r="D496" s="13" t="s">
        <v>20</v>
      </c>
      <c r="E496" s="13" t="s">
        <v>16</v>
      </c>
      <c r="F496">
        <v>3</v>
      </c>
      <c r="G496">
        <v>1086.28</v>
      </c>
      <c r="H496">
        <v>3258.84</v>
      </c>
    </row>
    <row r="497" spans="1:8" x14ac:dyDescent="0.25">
      <c r="A497">
        <v>1496</v>
      </c>
      <c r="B497" s="1">
        <v>45444</v>
      </c>
      <c r="C497" s="13" t="s">
        <v>8</v>
      </c>
      <c r="D497" s="13" t="s">
        <v>18</v>
      </c>
      <c r="E497" s="13" t="s">
        <v>14</v>
      </c>
      <c r="F497">
        <v>9</v>
      </c>
      <c r="G497">
        <v>497.47</v>
      </c>
      <c r="H497">
        <v>4477.2299999999996</v>
      </c>
    </row>
    <row r="498" spans="1:8" x14ac:dyDescent="0.25">
      <c r="A498">
        <v>1497</v>
      </c>
      <c r="B498" s="1">
        <v>45636</v>
      </c>
      <c r="C498" s="13" t="s">
        <v>8</v>
      </c>
      <c r="D498" s="13" t="s">
        <v>15</v>
      </c>
      <c r="E498" s="13" t="s">
        <v>14</v>
      </c>
      <c r="F498">
        <v>13</v>
      </c>
      <c r="G498">
        <v>782.25</v>
      </c>
      <c r="H498">
        <v>10169.25</v>
      </c>
    </row>
    <row r="499" spans="1:8" x14ac:dyDescent="0.25">
      <c r="A499">
        <v>1498</v>
      </c>
      <c r="B499" s="1">
        <v>45620</v>
      </c>
      <c r="C499" s="13" t="s">
        <v>13</v>
      </c>
      <c r="D499" s="13" t="s">
        <v>9</v>
      </c>
      <c r="E499" s="13" t="s">
        <v>10</v>
      </c>
      <c r="F499">
        <v>4</v>
      </c>
      <c r="G499">
        <v>1051.2</v>
      </c>
      <c r="H499">
        <v>4204.8</v>
      </c>
    </row>
    <row r="500" spans="1:8" x14ac:dyDescent="0.25">
      <c r="A500">
        <v>1499</v>
      </c>
      <c r="B500" s="1">
        <v>45599</v>
      </c>
      <c r="C500" s="13" t="s">
        <v>8</v>
      </c>
      <c r="D500" s="13" t="s">
        <v>15</v>
      </c>
      <c r="E500" s="13" t="s">
        <v>14</v>
      </c>
      <c r="F500">
        <v>18</v>
      </c>
      <c r="G500">
        <v>517.07000000000005</v>
      </c>
      <c r="H500">
        <v>9307.26</v>
      </c>
    </row>
    <row r="501" spans="1:8" x14ac:dyDescent="0.25">
      <c r="A501">
        <v>1500</v>
      </c>
      <c r="B501" s="1">
        <v>45651</v>
      </c>
      <c r="C501" s="13" t="s">
        <v>8</v>
      </c>
      <c r="D501" s="13" t="s">
        <v>9</v>
      </c>
      <c r="E501" s="13" t="s">
        <v>12</v>
      </c>
      <c r="F501">
        <v>19</v>
      </c>
      <c r="G501">
        <v>1172.78</v>
      </c>
      <c r="H501">
        <v>22282.82</v>
      </c>
    </row>
    <row r="502" spans="1:8" x14ac:dyDescent="0.25">
      <c r="A502">
        <v>1501</v>
      </c>
      <c r="B502" s="1">
        <v>45628</v>
      </c>
      <c r="C502" s="13" t="s">
        <v>8</v>
      </c>
      <c r="D502" s="13" t="s">
        <v>20</v>
      </c>
      <c r="E502" s="13" t="s">
        <v>10</v>
      </c>
      <c r="F502">
        <v>1</v>
      </c>
      <c r="G502">
        <v>698.02</v>
      </c>
      <c r="H502">
        <v>698.02</v>
      </c>
    </row>
    <row r="503" spans="1:8" x14ac:dyDescent="0.25">
      <c r="A503">
        <v>1502</v>
      </c>
      <c r="B503" s="1">
        <v>45334</v>
      </c>
      <c r="C503" s="13" t="s">
        <v>19</v>
      </c>
      <c r="D503" s="13" t="s">
        <v>15</v>
      </c>
      <c r="E503" s="13" t="s">
        <v>14</v>
      </c>
      <c r="F503">
        <v>9</v>
      </c>
      <c r="G503">
        <v>1454.47</v>
      </c>
      <c r="H503">
        <v>13090.23</v>
      </c>
    </row>
    <row r="504" spans="1:8" x14ac:dyDescent="0.25">
      <c r="A504">
        <v>1503</v>
      </c>
      <c r="B504" s="1">
        <v>45350</v>
      </c>
      <c r="C504" s="13" t="s">
        <v>17</v>
      </c>
      <c r="D504" s="13" t="s">
        <v>9</v>
      </c>
      <c r="E504" s="13" t="s">
        <v>16</v>
      </c>
      <c r="F504">
        <v>5</v>
      </c>
      <c r="G504">
        <v>124.07</v>
      </c>
      <c r="H504">
        <v>620.34999999999991</v>
      </c>
    </row>
    <row r="505" spans="1:8" x14ac:dyDescent="0.25">
      <c r="A505">
        <v>1504</v>
      </c>
      <c r="B505" s="1">
        <v>45493</v>
      </c>
      <c r="C505" s="13" t="s">
        <v>19</v>
      </c>
      <c r="D505" s="13" t="s">
        <v>20</v>
      </c>
      <c r="E505" s="13" t="s">
        <v>12</v>
      </c>
      <c r="F505">
        <v>9</v>
      </c>
      <c r="G505">
        <v>104.82</v>
      </c>
      <c r="H505">
        <v>943.37999999999988</v>
      </c>
    </row>
    <row r="506" spans="1:8" x14ac:dyDescent="0.25">
      <c r="A506">
        <v>1505</v>
      </c>
      <c r="B506" s="1">
        <v>45570</v>
      </c>
      <c r="C506" s="13" t="s">
        <v>8</v>
      </c>
      <c r="D506" s="13" t="s">
        <v>18</v>
      </c>
      <c r="E506" s="13" t="s">
        <v>12</v>
      </c>
      <c r="F506">
        <v>15</v>
      </c>
      <c r="G506">
        <v>1435.93</v>
      </c>
      <c r="H506">
        <v>21538.95</v>
      </c>
    </row>
    <row r="507" spans="1:8" x14ac:dyDescent="0.25">
      <c r="A507">
        <v>1506</v>
      </c>
      <c r="B507" s="1">
        <v>45466</v>
      </c>
      <c r="C507" s="13" t="s">
        <v>17</v>
      </c>
      <c r="D507" s="13" t="s">
        <v>15</v>
      </c>
      <c r="E507" s="13" t="s">
        <v>12</v>
      </c>
      <c r="F507">
        <v>11</v>
      </c>
      <c r="G507">
        <v>59.27</v>
      </c>
      <c r="H507">
        <v>651.97</v>
      </c>
    </row>
    <row r="508" spans="1:8" x14ac:dyDescent="0.25">
      <c r="A508">
        <v>1507</v>
      </c>
      <c r="B508" s="1">
        <v>45540</v>
      </c>
      <c r="C508" s="13" t="s">
        <v>19</v>
      </c>
      <c r="D508" s="13" t="s">
        <v>18</v>
      </c>
      <c r="E508" s="13" t="s">
        <v>14</v>
      </c>
      <c r="F508">
        <v>10</v>
      </c>
      <c r="G508">
        <v>1411.2</v>
      </c>
      <c r="H508">
        <v>14112</v>
      </c>
    </row>
    <row r="509" spans="1:8" x14ac:dyDescent="0.25">
      <c r="A509">
        <v>1508</v>
      </c>
      <c r="B509" s="1">
        <v>45468</v>
      </c>
      <c r="C509" s="13" t="s">
        <v>11</v>
      </c>
      <c r="D509" s="13" t="s">
        <v>9</v>
      </c>
      <c r="E509" s="13" t="s">
        <v>12</v>
      </c>
      <c r="F509">
        <v>10</v>
      </c>
      <c r="G509">
        <v>1063.77</v>
      </c>
      <c r="H509">
        <v>10637.7</v>
      </c>
    </row>
    <row r="510" spans="1:8" x14ac:dyDescent="0.25">
      <c r="A510">
        <v>1509</v>
      </c>
      <c r="B510" s="1">
        <v>45374</v>
      </c>
      <c r="C510" s="13" t="s">
        <v>8</v>
      </c>
      <c r="D510" s="13" t="s">
        <v>20</v>
      </c>
      <c r="E510" s="13" t="s">
        <v>14</v>
      </c>
      <c r="F510">
        <v>11</v>
      </c>
      <c r="G510">
        <v>97.09</v>
      </c>
      <c r="H510">
        <v>1067.99</v>
      </c>
    </row>
    <row r="511" spans="1:8" x14ac:dyDescent="0.25">
      <c r="A511">
        <v>1510</v>
      </c>
      <c r="B511" s="1">
        <v>45490</v>
      </c>
      <c r="C511" s="13" t="s">
        <v>19</v>
      </c>
      <c r="D511" s="13" t="s">
        <v>9</v>
      </c>
      <c r="E511" s="13" t="s">
        <v>10</v>
      </c>
      <c r="F511">
        <v>18</v>
      </c>
      <c r="G511">
        <v>774.9</v>
      </c>
      <c r="H511">
        <v>13948.2</v>
      </c>
    </row>
    <row r="512" spans="1:8" x14ac:dyDescent="0.25">
      <c r="A512">
        <v>1511</v>
      </c>
      <c r="B512" s="1">
        <v>45315</v>
      </c>
      <c r="C512" s="13" t="s">
        <v>17</v>
      </c>
      <c r="D512" s="13" t="s">
        <v>15</v>
      </c>
      <c r="E512" s="13" t="s">
        <v>10</v>
      </c>
      <c r="F512">
        <v>10</v>
      </c>
      <c r="G512">
        <v>1432.64</v>
      </c>
      <c r="H512">
        <v>14326.4</v>
      </c>
    </row>
    <row r="513" spans="1:8" x14ac:dyDescent="0.25">
      <c r="A513">
        <v>1512</v>
      </c>
      <c r="B513" s="1">
        <v>45464</v>
      </c>
      <c r="C513" s="13" t="s">
        <v>13</v>
      </c>
      <c r="D513" s="13" t="s">
        <v>20</v>
      </c>
      <c r="E513" s="13" t="s">
        <v>16</v>
      </c>
      <c r="F513">
        <v>14</v>
      </c>
      <c r="G513">
        <v>758.12</v>
      </c>
      <c r="H513">
        <v>10613.68</v>
      </c>
    </row>
    <row r="514" spans="1:8" x14ac:dyDescent="0.25">
      <c r="A514">
        <v>1513</v>
      </c>
      <c r="B514" s="1">
        <v>45621</v>
      </c>
      <c r="C514" s="13" t="s">
        <v>13</v>
      </c>
      <c r="D514" s="13" t="s">
        <v>20</v>
      </c>
      <c r="E514" s="13" t="s">
        <v>14</v>
      </c>
      <c r="F514">
        <v>7</v>
      </c>
      <c r="G514">
        <v>389.76</v>
      </c>
      <c r="H514">
        <v>2728.32</v>
      </c>
    </row>
    <row r="515" spans="1:8" x14ac:dyDescent="0.25">
      <c r="A515">
        <v>1514</v>
      </c>
      <c r="B515" s="1">
        <v>45450</v>
      </c>
      <c r="C515" s="13" t="s">
        <v>8</v>
      </c>
      <c r="D515" s="13" t="s">
        <v>18</v>
      </c>
      <c r="E515" s="13" t="s">
        <v>14</v>
      </c>
      <c r="F515">
        <v>9</v>
      </c>
      <c r="G515">
        <v>1013.04</v>
      </c>
      <c r="H515">
        <v>9117.36</v>
      </c>
    </row>
    <row r="516" spans="1:8" x14ac:dyDescent="0.25">
      <c r="A516">
        <v>1515</v>
      </c>
      <c r="B516" s="1">
        <v>45581</v>
      </c>
      <c r="C516" s="13" t="s">
        <v>11</v>
      </c>
      <c r="D516" s="13" t="s">
        <v>15</v>
      </c>
      <c r="E516" s="13" t="s">
        <v>10</v>
      </c>
      <c r="F516">
        <v>5</v>
      </c>
      <c r="G516">
        <v>1236.49</v>
      </c>
      <c r="H516">
        <v>6182.45</v>
      </c>
    </row>
    <row r="517" spans="1:8" x14ac:dyDescent="0.25">
      <c r="A517">
        <v>1516</v>
      </c>
      <c r="B517" s="1">
        <v>45552</v>
      </c>
      <c r="C517" s="13" t="s">
        <v>8</v>
      </c>
      <c r="D517" s="13" t="s">
        <v>15</v>
      </c>
      <c r="E517" s="13" t="s">
        <v>14</v>
      </c>
      <c r="F517">
        <v>1</v>
      </c>
      <c r="G517">
        <v>1244.27</v>
      </c>
      <c r="H517">
        <v>1244.27</v>
      </c>
    </row>
    <row r="518" spans="1:8" x14ac:dyDescent="0.25">
      <c r="A518">
        <v>1517</v>
      </c>
      <c r="B518" s="1">
        <v>45325</v>
      </c>
      <c r="C518" s="13" t="s">
        <v>11</v>
      </c>
      <c r="D518" s="13" t="s">
        <v>9</v>
      </c>
      <c r="E518" s="13" t="s">
        <v>21</v>
      </c>
      <c r="F518">
        <v>18</v>
      </c>
      <c r="G518">
        <v>677.67</v>
      </c>
      <c r="H518">
        <v>12198.06</v>
      </c>
    </row>
    <row r="519" spans="1:8" x14ac:dyDescent="0.25">
      <c r="A519">
        <v>1518</v>
      </c>
      <c r="B519" s="1">
        <v>45451</v>
      </c>
      <c r="C519" s="13" t="s">
        <v>11</v>
      </c>
      <c r="D519" s="13" t="s">
        <v>20</v>
      </c>
      <c r="E519" s="13" t="s">
        <v>14</v>
      </c>
      <c r="F519">
        <v>8</v>
      </c>
      <c r="G519">
        <v>117.51</v>
      </c>
      <c r="H519">
        <v>940.08</v>
      </c>
    </row>
    <row r="520" spans="1:8" x14ac:dyDescent="0.25">
      <c r="A520">
        <v>1519</v>
      </c>
      <c r="B520" s="1">
        <v>45514</v>
      </c>
      <c r="C520" s="13" t="s">
        <v>13</v>
      </c>
      <c r="D520" s="13" t="s">
        <v>18</v>
      </c>
      <c r="E520" s="13" t="s">
        <v>21</v>
      </c>
      <c r="F520">
        <v>9</v>
      </c>
      <c r="G520">
        <v>564.29</v>
      </c>
      <c r="H520">
        <v>5078.6099999999997</v>
      </c>
    </row>
    <row r="521" spans="1:8" x14ac:dyDescent="0.25">
      <c r="A521">
        <v>1520</v>
      </c>
      <c r="B521" s="1">
        <v>45437</v>
      </c>
      <c r="C521" s="13" t="s">
        <v>13</v>
      </c>
      <c r="D521" s="13" t="s">
        <v>15</v>
      </c>
      <c r="E521" s="13" t="s">
        <v>12</v>
      </c>
      <c r="F521">
        <v>2</v>
      </c>
      <c r="G521">
        <v>372.58</v>
      </c>
      <c r="H521">
        <v>745.16</v>
      </c>
    </row>
    <row r="522" spans="1:8" x14ac:dyDescent="0.25">
      <c r="A522">
        <v>1521</v>
      </c>
      <c r="B522" s="1">
        <v>45428</v>
      </c>
      <c r="C522" s="13" t="s">
        <v>11</v>
      </c>
      <c r="D522" s="13" t="s">
        <v>15</v>
      </c>
      <c r="E522" s="13" t="s">
        <v>12</v>
      </c>
      <c r="F522">
        <v>1</v>
      </c>
      <c r="G522">
        <v>131.84</v>
      </c>
      <c r="H522">
        <v>131.84</v>
      </c>
    </row>
    <row r="523" spans="1:8" x14ac:dyDescent="0.25">
      <c r="A523">
        <v>1522</v>
      </c>
      <c r="B523" s="1">
        <v>45577</v>
      </c>
      <c r="C523" s="13" t="s">
        <v>19</v>
      </c>
      <c r="D523" s="13" t="s">
        <v>18</v>
      </c>
      <c r="E523" s="13" t="s">
        <v>10</v>
      </c>
      <c r="F523">
        <v>5</v>
      </c>
      <c r="G523">
        <v>1092.82</v>
      </c>
      <c r="H523">
        <v>5464.0999999999995</v>
      </c>
    </row>
    <row r="524" spans="1:8" x14ac:dyDescent="0.25">
      <c r="A524">
        <v>1523</v>
      </c>
      <c r="B524" s="1">
        <v>45489</v>
      </c>
      <c r="C524" s="13" t="s">
        <v>17</v>
      </c>
      <c r="D524" s="13" t="s">
        <v>20</v>
      </c>
      <c r="E524" s="13" t="s">
        <v>14</v>
      </c>
      <c r="F524">
        <v>17</v>
      </c>
      <c r="G524">
        <v>1497.52</v>
      </c>
      <c r="H524">
        <v>25457.84</v>
      </c>
    </row>
    <row r="525" spans="1:8" x14ac:dyDescent="0.25">
      <c r="A525">
        <v>1524</v>
      </c>
      <c r="B525" s="1">
        <v>45555</v>
      </c>
      <c r="C525" s="13" t="s">
        <v>19</v>
      </c>
      <c r="D525" s="13" t="s">
        <v>15</v>
      </c>
      <c r="E525" s="13" t="s">
        <v>14</v>
      </c>
      <c r="F525">
        <v>14</v>
      </c>
      <c r="G525">
        <v>99.46</v>
      </c>
      <c r="H525">
        <v>1392.44</v>
      </c>
    </row>
    <row r="526" spans="1:8" x14ac:dyDescent="0.25">
      <c r="A526">
        <v>1525</v>
      </c>
      <c r="B526" s="1">
        <v>45593</v>
      </c>
      <c r="C526" s="13" t="s">
        <v>17</v>
      </c>
      <c r="D526" s="13" t="s">
        <v>9</v>
      </c>
      <c r="E526" s="13" t="s">
        <v>14</v>
      </c>
      <c r="F526">
        <v>14</v>
      </c>
      <c r="G526">
        <v>1069.3800000000001</v>
      </c>
      <c r="H526">
        <v>14971.32</v>
      </c>
    </row>
    <row r="527" spans="1:8" x14ac:dyDescent="0.25">
      <c r="A527">
        <v>1526</v>
      </c>
      <c r="B527" s="1">
        <v>45336</v>
      </c>
      <c r="C527" s="13" t="s">
        <v>11</v>
      </c>
      <c r="D527" s="13" t="s">
        <v>18</v>
      </c>
      <c r="E527" s="13" t="s">
        <v>21</v>
      </c>
      <c r="F527">
        <v>13</v>
      </c>
      <c r="G527">
        <v>1421.58</v>
      </c>
      <c r="H527">
        <v>18480.54</v>
      </c>
    </row>
    <row r="528" spans="1:8" x14ac:dyDescent="0.25">
      <c r="A528">
        <v>1527</v>
      </c>
      <c r="B528" s="1">
        <v>45557</v>
      </c>
      <c r="C528" s="13" t="s">
        <v>8</v>
      </c>
      <c r="D528" s="13" t="s">
        <v>15</v>
      </c>
      <c r="E528" s="13" t="s">
        <v>21</v>
      </c>
      <c r="F528">
        <v>9</v>
      </c>
      <c r="G528">
        <v>724.55</v>
      </c>
      <c r="H528">
        <v>6520.95</v>
      </c>
    </row>
    <row r="529" spans="1:8" x14ac:dyDescent="0.25">
      <c r="A529">
        <v>1528</v>
      </c>
      <c r="B529" s="1">
        <v>45383</v>
      </c>
      <c r="C529" s="13" t="s">
        <v>8</v>
      </c>
      <c r="D529" s="13" t="s">
        <v>18</v>
      </c>
      <c r="E529" s="13" t="s">
        <v>12</v>
      </c>
      <c r="F529">
        <v>5</v>
      </c>
      <c r="G529">
        <v>682.04</v>
      </c>
      <c r="H529">
        <v>3410.2</v>
      </c>
    </row>
    <row r="530" spans="1:8" x14ac:dyDescent="0.25">
      <c r="A530">
        <v>1529</v>
      </c>
      <c r="B530" s="1">
        <v>45484</v>
      </c>
      <c r="C530" s="13" t="s">
        <v>8</v>
      </c>
      <c r="D530" s="13" t="s">
        <v>9</v>
      </c>
      <c r="E530" s="13" t="s">
        <v>16</v>
      </c>
      <c r="F530">
        <v>14</v>
      </c>
      <c r="G530">
        <v>864.75</v>
      </c>
      <c r="H530">
        <v>12106.5</v>
      </c>
    </row>
    <row r="531" spans="1:8" x14ac:dyDescent="0.25">
      <c r="A531">
        <v>1530</v>
      </c>
      <c r="B531" s="1">
        <v>45519</v>
      </c>
      <c r="C531" s="13" t="s">
        <v>17</v>
      </c>
      <c r="D531" s="13" t="s">
        <v>18</v>
      </c>
      <c r="E531" s="13" t="s">
        <v>12</v>
      </c>
      <c r="F531">
        <v>18</v>
      </c>
      <c r="G531">
        <v>884.04</v>
      </c>
      <c r="H531">
        <v>15912.72</v>
      </c>
    </row>
    <row r="532" spans="1:8" x14ac:dyDescent="0.25">
      <c r="A532">
        <v>1531</v>
      </c>
      <c r="B532" s="1">
        <v>45350</v>
      </c>
      <c r="C532" s="13" t="s">
        <v>19</v>
      </c>
      <c r="D532" s="13" t="s">
        <v>9</v>
      </c>
      <c r="E532" s="13" t="s">
        <v>16</v>
      </c>
      <c r="F532">
        <v>15</v>
      </c>
      <c r="G532">
        <v>62.08</v>
      </c>
      <c r="H532">
        <v>931.19999999999993</v>
      </c>
    </row>
    <row r="533" spans="1:8" x14ac:dyDescent="0.25">
      <c r="A533">
        <v>1532</v>
      </c>
      <c r="B533" s="1">
        <v>45304</v>
      </c>
      <c r="C533" s="13" t="s">
        <v>19</v>
      </c>
      <c r="D533" s="13" t="s">
        <v>9</v>
      </c>
      <c r="E533" s="13" t="s">
        <v>10</v>
      </c>
      <c r="F533">
        <v>15</v>
      </c>
      <c r="G533">
        <v>83.41</v>
      </c>
      <c r="H533">
        <v>1251.1500000000001</v>
      </c>
    </row>
    <row r="534" spans="1:8" x14ac:dyDescent="0.25">
      <c r="A534">
        <v>1533</v>
      </c>
      <c r="B534" s="1">
        <v>45299</v>
      </c>
      <c r="C534" s="13" t="s">
        <v>13</v>
      </c>
      <c r="D534" s="13" t="s">
        <v>9</v>
      </c>
      <c r="E534" s="13" t="s">
        <v>14</v>
      </c>
      <c r="F534">
        <v>3</v>
      </c>
      <c r="G534">
        <v>840.87</v>
      </c>
      <c r="H534">
        <v>2522.61</v>
      </c>
    </row>
    <row r="535" spans="1:8" x14ac:dyDescent="0.25">
      <c r="A535">
        <v>1534</v>
      </c>
      <c r="B535" s="1">
        <v>45488</v>
      </c>
      <c r="C535" s="13" t="s">
        <v>11</v>
      </c>
      <c r="D535" s="13" t="s">
        <v>18</v>
      </c>
      <c r="E535" s="13" t="s">
        <v>12</v>
      </c>
      <c r="F535">
        <v>14</v>
      </c>
      <c r="G535">
        <v>791.39</v>
      </c>
      <c r="H535">
        <v>11079.46</v>
      </c>
    </row>
    <row r="536" spans="1:8" x14ac:dyDescent="0.25">
      <c r="A536">
        <v>1535</v>
      </c>
      <c r="B536" s="1">
        <v>45463</v>
      </c>
      <c r="C536" s="13" t="s">
        <v>8</v>
      </c>
      <c r="D536" s="13" t="s">
        <v>18</v>
      </c>
      <c r="E536" s="13" t="s">
        <v>21</v>
      </c>
      <c r="F536">
        <v>2</v>
      </c>
      <c r="G536">
        <v>988.7</v>
      </c>
      <c r="H536">
        <v>1977.4</v>
      </c>
    </row>
    <row r="537" spans="1:8" x14ac:dyDescent="0.25">
      <c r="A537">
        <v>1536</v>
      </c>
      <c r="B537" s="1">
        <v>45463</v>
      </c>
      <c r="C537" s="13" t="s">
        <v>11</v>
      </c>
      <c r="D537" s="13" t="s">
        <v>15</v>
      </c>
      <c r="E537" s="13" t="s">
        <v>10</v>
      </c>
      <c r="F537">
        <v>8</v>
      </c>
      <c r="G537">
        <v>577.38</v>
      </c>
      <c r="H537">
        <v>4619.04</v>
      </c>
    </row>
    <row r="538" spans="1:8" x14ac:dyDescent="0.25">
      <c r="A538">
        <v>1537</v>
      </c>
      <c r="B538" s="1">
        <v>45368</v>
      </c>
      <c r="C538" s="13" t="s">
        <v>8</v>
      </c>
      <c r="D538" s="13" t="s">
        <v>18</v>
      </c>
      <c r="E538" s="13" t="s">
        <v>14</v>
      </c>
      <c r="F538">
        <v>18</v>
      </c>
      <c r="G538">
        <v>435.65</v>
      </c>
      <c r="H538">
        <v>7841.7</v>
      </c>
    </row>
    <row r="539" spans="1:8" x14ac:dyDescent="0.25">
      <c r="A539">
        <v>1538</v>
      </c>
      <c r="B539" s="1">
        <v>45569</v>
      </c>
      <c r="C539" s="13" t="s">
        <v>8</v>
      </c>
      <c r="D539" s="13" t="s">
        <v>9</v>
      </c>
      <c r="E539" s="13" t="s">
        <v>12</v>
      </c>
      <c r="F539">
        <v>17</v>
      </c>
      <c r="G539">
        <v>377.72</v>
      </c>
      <c r="H539">
        <v>6421.2400000000007</v>
      </c>
    </row>
    <row r="540" spans="1:8" x14ac:dyDescent="0.25">
      <c r="A540">
        <v>1539</v>
      </c>
      <c r="B540" s="1">
        <v>45323</v>
      </c>
      <c r="C540" s="13" t="s">
        <v>19</v>
      </c>
      <c r="D540" s="13" t="s">
        <v>15</v>
      </c>
      <c r="E540" s="13" t="s">
        <v>10</v>
      </c>
      <c r="F540">
        <v>4</v>
      </c>
      <c r="G540">
        <v>913.05</v>
      </c>
      <c r="H540">
        <v>3652.2</v>
      </c>
    </row>
    <row r="541" spans="1:8" x14ac:dyDescent="0.25">
      <c r="A541">
        <v>1540</v>
      </c>
      <c r="B541" s="1">
        <v>45643</v>
      </c>
      <c r="C541" s="13" t="s">
        <v>13</v>
      </c>
      <c r="D541" s="13" t="s">
        <v>18</v>
      </c>
      <c r="E541" s="13" t="s">
        <v>14</v>
      </c>
      <c r="F541">
        <v>18</v>
      </c>
      <c r="G541">
        <v>1288.3499999999999</v>
      </c>
      <c r="H541">
        <v>23190.3</v>
      </c>
    </row>
    <row r="542" spans="1:8" x14ac:dyDescent="0.25">
      <c r="A542">
        <v>1541</v>
      </c>
      <c r="B542" s="1">
        <v>45628</v>
      </c>
      <c r="C542" s="13" t="s">
        <v>17</v>
      </c>
      <c r="D542" s="13" t="s">
        <v>9</v>
      </c>
      <c r="E542" s="13" t="s">
        <v>10</v>
      </c>
      <c r="F542">
        <v>19</v>
      </c>
      <c r="G542">
        <v>1054.6099999999999</v>
      </c>
      <c r="H542">
        <v>20037.59</v>
      </c>
    </row>
    <row r="543" spans="1:8" x14ac:dyDescent="0.25">
      <c r="A543">
        <v>1542</v>
      </c>
      <c r="B543" s="1">
        <v>45495</v>
      </c>
      <c r="C543" s="13" t="s">
        <v>11</v>
      </c>
      <c r="D543" s="13" t="s">
        <v>20</v>
      </c>
      <c r="E543" s="13" t="s">
        <v>12</v>
      </c>
      <c r="F543">
        <v>7</v>
      </c>
      <c r="G543">
        <v>103.66</v>
      </c>
      <c r="H543">
        <v>725.62</v>
      </c>
    </row>
    <row r="544" spans="1:8" x14ac:dyDescent="0.25">
      <c r="A544">
        <v>1543</v>
      </c>
      <c r="B544" s="1">
        <v>45397</v>
      </c>
      <c r="C544" s="13" t="s">
        <v>17</v>
      </c>
      <c r="D544" s="13" t="s">
        <v>18</v>
      </c>
      <c r="E544" s="13" t="s">
        <v>21</v>
      </c>
      <c r="F544">
        <v>13</v>
      </c>
      <c r="G544">
        <v>79.959999999999994</v>
      </c>
      <c r="H544">
        <v>1039.48</v>
      </c>
    </row>
    <row r="545" spans="1:8" x14ac:dyDescent="0.25">
      <c r="A545">
        <v>1544</v>
      </c>
      <c r="B545" s="1">
        <v>45459</v>
      </c>
      <c r="C545" s="13" t="s">
        <v>17</v>
      </c>
      <c r="D545" s="13" t="s">
        <v>20</v>
      </c>
      <c r="E545" s="13" t="s">
        <v>14</v>
      </c>
      <c r="F545">
        <v>12</v>
      </c>
      <c r="G545">
        <v>1366.97</v>
      </c>
      <c r="H545">
        <v>16403.64</v>
      </c>
    </row>
    <row r="546" spans="1:8" x14ac:dyDescent="0.25">
      <c r="A546">
        <v>1545</v>
      </c>
      <c r="B546" s="1">
        <v>45485</v>
      </c>
      <c r="C546" s="13" t="s">
        <v>19</v>
      </c>
      <c r="D546" s="13" t="s">
        <v>15</v>
      </c>
      <c r="E546" s="13" t="s">
        <v>21</v>
      </c>
      <c r="F546">
        <v>10</v>
      </c>
      <c r="G546">
        <v>677.36</v>
      </c>
      <c r="H546">
        <v>6773.6</v>
      </c>
    </row>
    <row r="547" spans="1:8" x14ac:dyDescent="0.25">
      <c r="A547">
        <v>1546</v>
      </c>
      <c r="B547" s="1">
        <v>45493</v>
      </c>
      <c r="C547" s="13" t="s">
        <v>8</v>
      </c>
      <c r="D547" s="13" t="s">
        <v>15</v>
      </c>
      <c r="E547" s="13" t="s">
        <v>10</v>
      </c>
      <c r="F547">
        <v>2</v>
      </c>
      <c r="G547">
        <v>1243.95</v>
      </c>
      <c r="H547">
        <v>2487.9</v>
      </c>
    </row>
    <row r="548" spans="1:8" x14ac:dyDescent="0.25">
      <c r="A548">
        <v>1547</v>
      </c>
      <c r="B548" s="1">
        <v>45551</v>
      </c>
      <c r="C548" s="13" t="s">
        <v>8</v>
      </c>
      <c r="D548" s="13" t="s">
        <v>20</v>
      </c>
      <c r="E548" s="13" t="s">
        <v>16</v>
      </c>
      <c r="F548">
        <v>9</v>
      </c>
      <c r="G548">
        <v>519.07000000000005</v>
      </c>
      <c r="H548">
        <v>4671.63</v>
      </c>
    </row>
    <row r="549" spans="1:8" x14ac:dyDescent="0.25">
      <c r="A549">
        <v>1548</v>
      </c>
      <c r="B549" s="1">
        <v>45493</v>
      </c>
      <c r="C549" s="13" t="s">
        <v>19</v>
      </c>
      <c r="D549" s="13" t="s">
        <v>15</v>
      </c>
      <c r="E549" s="13" t="s">
        <v>14</v>
      </c>
      <c r="F549">
        <v>16</v>
      </c>
      <c r="G549">
        <v>378.87</v>
      </c>
      <c r="H549">
        <v>6061.92</v>
      </c>
    </row>
    <row r="550" spans="1:8" x14ac:dyDescent="0.25">
      <c r="A550">
        <v>1549</v>
      </c>
      <c r="B550" s="1">
        <v>45397</v>
      </c>
      <c r="C550" s="13" t="s">
        <v>8</v>
      </c>
      <c r="D550" s="13" t="s">
        <v>15</v>
      </c>
      <c r="E550" s="13" t="s">
        <v>21</v>
      </c>
      <c r="F550">
        <v>18</v>
      </c>
      <c r="G550">
        <v>455.55</v>
      </c>
      <c r="H550">
        <v>8199.9</v>
      </c>
    </row>
    <row r="551" spans="1:8" x14ac:dyDescent="0.25">
      <c r="A551">
        <v>1550</v>
      </c>
      <c r="B551" s="1">
        <v>45352</v>
      </c>
      <c r="C551" s="13" t="s">
        <v>19</v>
      </c>
      <c r="D551" s="13" t="s">
        <v>18</v>
      </c>
      <c r="E551" s="13" t="s">
        <v>14</v>
      </c>
      <c r="F551">
        <v>18</v>
      </c>
      <c r="G551">
        <v>1001.21</v>
      </c>
      <c r="H551">
        <v>18021.78</v>
      </c>
    </row>
    <row r="552" spans="1:8" x14ac:dyDescent="0.25">
      <c r="A552">
        <v>1551</v>
      </c>
      <c r="B552" s="1">
        <v>45354</v>
      </c>
      <c r="C552" s="13" t="s">
        <v>11</v>
      </c>
      <c r="D552" s="13" t="s">
        <v>9</v>
      </c>
      <c r="E552" s="13" t="s">
        <v>21</v>
      </c>
      <c r="F552">
        <v>3</v>
      </c>
      <c r="G552">
        <v>577.55999999999995</v>
      </c>
      <c r="H552">
        <v>1732.68</v>
      </c>
    </row>
    <row r="553" spans="1:8" x14ac:dyDescent="0.25">
      <c r="A553">
        <v>1552</v>
      </c>
      <c r="B553" s="1">
        <v>45592</v>
      </c>
      <c r="C553" s="13" t="s">
        <v>19</v>
      </c>
      <c r="D553" s="13" t="s">
        <v>9</v>
      </c>
      <c r="E553" s="13" t="s">
        <v>10</v>
      </c>
      <c r="F553">
        <v>10</v>
      </c>
      <c r="G553">
        <v>300.5</v>
      </c>
      <c r="H553">
        <v>3005</v>
      </c>
    </row>
    <row r="554" spans="1:8" x14ac:dyDescent="0.25">
      <c r="A554">
        <v>1553</v>
      </c>
      <c r="B554" s="1">
        <v>45320</v>
      </c>
      <c r="C554" s="13" t="s">
        <v>11</v>
      </c>
      <c r="D554" s="13" t="s">
        <v>15</v>
      </c>
      <c r="E554" s="13" t="s">
        <v>16</v>
      </c>
      <c r="F554">
        <v>12</v>
      </c>
      <c r="G554">
        <v>541.11</v>
      </c>
      <c r="H554">
        <v>6493.32</v>
      </c>
    </row>
    <row r="555" spans="1:8" x14ac:dyDescent="0.25">
      <c r="A555">
        <v>1554</v>
      </c>
      <c r="B555" s="1">
        <v>45548</v>
      </c>
      <c r="C555" s="13" t="s">
        <v>8</v>
      </c>
      <c r="D555" s="13" t="s">
        <v>15</v>
      </c>
      <c r="E555" s="13" t="s">
        <v>16</v>
      </c>
      <c r="F555">
        <v>17</v>
      </c>
      <c r="G555">
        <v>1214.1099999999999</v>
      </c>
      <c r="H555">
        <v>20639.87</v>
      </c>
    </row>
    <row r="556" spans="1:8" x14ac:dyDescent="0.25">
      <c r="A556">
        <v>1555</v>
      </c>
      <c r="B556" s="1">
        <v>45356</v>
      </c>
      <c r="C556" s="13" t="s">
        <v>17</v>
      </c>
      <c r="D556" s="13" t="s">
        <v>18</v>
      </c>
      <c r="E556" s="13" t="s">
        <v>16</v>
      </c>
      <c r="F556">
        <v>10</v>
      </c>
      <c r="G556">
        <v>1065.4100000000001</v>
      </c>
      <c r="H556">
        <v>10654.1</v>
      </c>
    </row>
    <row r="557" spans="1:8" x14ac:dyDescent="0.25">
      <c r="A557">
        <v>1556</v>
      </c>
      <c r="B557" s="1">
        <v>45319</v>
      </c>
      <c r="C557" s="13" t="s">
        <v>19</v>
      </c>
      <c r="D557" s="13" t="s">
        <v>18</v>
      </c>
      <c r="E557" s="13" t="s">
        <v>16</v>
      </c>
      <c r="F557">
        <v>19</v>
      </c>
      <c r="G557">
        <v>749.76</v>
      </c>
      <c r="H557">
        <v>14245.44</v>
      </c>
    </row>
    <row r="558" spans="1:8" x14ac:dyDescent="0.25">
      <c r="A558">
        <v>1557</v>
      </c>
      <c r="B558" s="1">
        <v>45430</v>
      </c>
      <c r="C558" s="13" t="s">
        <v>13</v>
      </c>
      <c r="D558" s="13" t="s">
        <v>20</v>
      </c>
      <c r="E558" s="13" t="s">
        <v>12</v>
      </c>
      <c r="F558">
        <v>18</v>
      </c>
      <c r="G558">
        <v>215.2</v>
      </c>
      <c r="H558">
        <v>3873.6</v>
      </c>
    </row>
    <row r="559" spans="1:8" x14ac:dyDescent="0.25">
      <c r="A559">
        <v>1558</v>
      </c>
      <c r="B559" s="1">
        <v>45606</v>
      </c>
      <c r="C559" s="13" t="s">
        <v>19</v>
      </c>
      <c r="D559" s="13" t="s">
        <v>18</v>
      </c>
      <c r="E559" s="13" t="s">
        <v>10</v>
      </c>
      <c r="F559">
        <v>3</v>
      </c>
      <c r="G559">
        <v>1221.5</v>
      </c>
      <c r="H559">
        <v>3664.5</v>
      </c>
    </row>
    <row r="560" spans="1:8" x14ac:dyDescent="0.25">
      <c r="A560">
        <v>1559</v>
      </c>
      <c r="B560" s="1">
        <v>45466</v>
      </c>
      <c r="C560" s="13" t="s">
        <v>11</v>
      </c>
      <c r="D560" s="13" t="s">
        <v>20</v>
      </c>
      <c r="E560" s="13" t="s">
        <v>10</v>
      </c>
      <c r="F560">
        <v>16</v>
      </c>
      <c r="G560">
        <v>644.72</v>
      </c>
      <c r="H560">
        <v>10315.52</v>
      </c>
    </row>
    <row r="561" spans="1:8" x14ac:dyDescent="0.25">
      <c r="A561">
        <v>1560</v>
      </c>
      <c r="B561" s="1">
        <v>45639</v>
      </c>
      <c r="C561" s="13" t="s">
        <v>19</v>
      </c>
      <c r="D561" s="13" t="s">
        <v>9</v>
      </c>
      <c r="E561" s="13" t="s">
        <v>10</v>
      </c>
      <c r="F561">
        <v>14</v>
      </c>
      <c r="G561">
        <v>562.15</v>
      </c>
      <c r="H561">
        <v>7870.0999999999995</v>
      </c>
    </row>
    <row r="562" spans="1:8" x14ac:dyDescent="0.25">
      <c r="A562">
        <v>1561</v>
      </c>
      <c r="B562" s="1">
        <v>45312</v>
      </c>
      <c r="C562" s="13" t="s">
        <v>11</v>
      </c>
      <c r="D562" s="13" t="s">
        <v>15</v>
      </c>
      <c r="E562" s="13" t="s">
        <v>16</v>
      </c>
      <c r="F562">
        <v>12</v>
      </c>
      <c r="G562">
        <v>868.28</v>
      </c>
      <c r="H562">
        <v>10419.36</v>
      </c>
    </row>
    <row r="563" spans="1:8" x14ac:dyDescent="0.25">
      <c r="A563">
        <v>1562</v>
      </c>
      <c r="B563" s="1">
        <v>45295</v>
      </c>
      <c r="C563" s="13" t="s">
        <v>13</v>
      </c>
      <c r="D563" s="13" t="s">
        <v>18</v>
      </c>
      <c r="E563" s="13" t="s">
        <v>10</v>
      </c>
      <c r="F563">
        <v>4</v>
      </c>
      <c r="G563">
        <v>1169.0999999999999</v>
      </c>
      <c r="H563">
        <v>4676.3999999999996</v>
      </c>
    </row>
    <row r="564" spans="1:8" x14ac:dyDescent="0.25">
      <c r="A564">
        <v>1563</v>
      </c>
      <c r="B564" s="1">
        <v>45642</v>
      </c>
      <c r="C564" s="13" t="s">
        <v>11</v>
      </c>
      <c r="D564" s="13" t="s">
        <v>20</v>
      </c>
      <c r="E564" s="13" t="s">
        <v>21</v>
      </c>
      <c r="F564">
        <v>6</v>
      </c>
      <c r="G564">
        <v>1396.3</v>
      </c>
      <c r="H564">
        <v>8377.7999999999993</v>
      </c>
    </row>
    <row r="565" spans="1:8" x14ac:dyDescent="0.25">
      <c r="A565">
        <v>1564</v>
      </c>
      <c r="B565" s="1">
        <v>45451</v>
      </c>
      <c r="C565" s="13" t="s">
        <v>13</v>
      </c>
      <c r="D565" s="13" t="s">
        <v>18</v>
      </c>
      <c r="E565" s="13" t="s">
        <v>10</v>
      </c>
      <c r="F565">
        <v>10</v>
      </c>
      <c r="G565">
        <v>109.66</v>
      </c>
      <c r="H565">
        <v>1096.5999999999999</v>
      </c>
    </row>
    <row r="566" spans="1:8" x14ac:dyDescent="0.25">
      <c r="A566">
        <v>1565</v>
      </c>
      <c r="B566" s="1">
        <v>45636</v>
      </c>
      <c r="C566" s="13" t="s">
        <v>13</v>
      </c>
      <c r="D566" s="13" t="s">
        <v>9</v>
      </c>
      <c r="E566" s="13" t="s">
        <v>14</v>
      </c>
      <c r="F566">
        <v>8</v>
      </c>
      <c r="G566">
        <v>1494.57</v>
      </c>
      <c r="H566">
        <v>11956.56</v>
      </c>
    </row>
    <row r="567" spans="1:8" x14ac:dyDescent="0.25">
      <c r="A567">
        <v>1566</v>
      </c>
      <c r="B567" s="1">
        <v>45474</v>
      </c>
      <c r="C567" s="13" t="s">
        <v>19</v>
      </c>
      <c r="D567" s="13" t="s">
        <v>15</v>
      </c>
      <c r="E567" s="13" t="s">
        <v>12</v>
      </c>
      <c r="F567">
        <v>17</v>
      </c>
      <c r="G567">
        <v>255.91</v>
      </c>
      <c r="H567">
        <v>4350.47</v>
      </c>
    </row>
    <row r="568" spans="1:8" x14ac:dyDescent="0.25">
      <c r="A568">
        <v>1567</v>
      </c>
      <c r="B568" s="1">
        <v>45442</v>
      </c>
      <c r="C568" s="13" t="s">
        <v>11</v>
      </c>
      <c r="D568" s="13" t="s">
        <v>9</v>
      </c>
      <c r="E568" s="13" t="s">
        <v>21</v>
      </c>
      <c r="F568">
        <v>18</v>
      </c>
      <c r="G568">
        <v>693.03</v>
      </c>
      <c r="H568">
        <v>12474.54</v>
      </c>
    </row>
    <row r="569" spans="1:8" x14ac:dyDescent="0.25">
      <c r="A569">
        <v>1568</v>
      </c>
      <c r="B569" s="1">
        <v>45487</v>
      </c>
      <c r="C569" s="13" t="s">
        <v>13</v>
      </c>
      <c r="D569" s="13" t="s">
        <v>20</v>
      </c>
      <c r="E569" s="13" t="s">
        <v>10</v>
      </c>
      <c r="F569">
        <v>14</v>
      </c>
      <c r="G569">
        <v>674.55</v>
      </c>
      <c r="H569">
        <v>9443.6999999999989</v>
      </c>
    </row>
    <row r="570" spans="1:8" x14ac:dyDescent="0.25">
      <c r="A570">
        <v>1569</v>
      </c>
      <c r="B570" s="1">
        <v>45465</v>
      </c>
      <c r="C570" s="13" t="s">
        <v>11</v>
      </c>
      <c r="D570" s="13" t="s">
        <v>20</v>
      </c>
      <c r="E570" s="13" t="s">
        <v>14</v>
      </c>
      <c r="F570">
        <v>1</v>
      </c>
      <c r="G570">
        <v>635.75</v>
      </c>
      <c r="H570">
        <v>635.75</v>
      </c>
    </row>
    <row r="571" spans="1:8" x14ac:dyDescent="0.25">
      <c r="A571">
        <v>1570</v>
      </c>
      <c r="B571" s="1">
        <v>45361</v>
      </c>
      <c r="C571" s="13" t="s">
        <v>19</v>
      </c>
      <c r="D571" s="13" t="s">
        <v>15</v>
      </c>
      <c r="E571" s="13" t="s">
        <v>12</v>
      </c>
      <c r="F571">
        <v>8</v>
      </c>
      <c r="G571">
        <v>1033.32</v>
      </c>
      <c r="H571">
        <v>8266.56</v>
      </c>
    </row>
    <row r="572" spans="1:8" x14ac:dyDescent="0.25">
      <c r="A572">
        <v>1571</v>
      </c>
      <c r="B572" s="1">
        <v>45428</v>
      </c>
      <c r="C572" s="13" t="s">
        <v>11</v>
      </c>
      <c r="D572" s="13" t="s">
        <v>9</v>
      </c>
      <c r="E572" s="13" t="s">
        <v>12</v>
      </c>
      <c r="F572">
        <v>4</v>
      </c>
      <c r="G572">
        <v>1441.85</v>
      </c>
      <c r="H572">
        <v>5767.4</v>
      </c>
    </row>
    <row r="573" spans="1:8" x14ac:dyDescent="0.25">
      <c r="A573">
        <v>1572</v>
      </c>
      <c r="B573" s="1">
        <v>45649</v>
      </c>
      <c r="C573" s="13" t="s">
        <v>11</v>
      </c>
      <c r="D573" s="13" t="s">
        <v>9</v>
      </c>
      <c r="E573" s="13" t="s">
        <v>16</v>
      </c>
      <c r="F573">
        <v>1</v>
      </c>
      <c r="G573">
        <v>954.47</v>
      </c>
      <c r="H573">
        <v>954.47</v>
      </c>
    </row>
    <row r="574" spans="1:8" x14ac:dyDescent="0.25">
      <c r="A574">
        <v>1573</v>
      </c>
      <c r="B574" s="1">
        <v>45309</v>
      </c>
      <c r="C574" s="13" t="s">
        <v>13</v>
      </c>
      <c r="D574" s="13" t="s">
        <v>20</v>
      </c>
      <c r="E574" s="13" t="s">
        <v>21</v>
      </c>
      <c r="F574">
        <v>5</v>
      </c>
      <c r="G574">
        <v>668.36</v>
      </c>
      <c r="H574">
        <v>3341.8</v>
      </c>
    </row>
    <row r="575" spans="1:8" x14ac:dyDescent="0.25">
      <c r="A575">
        <v>1574</v>
      </c>
      <c r="B575" s="1">
        <v>45656</v>
      </c>
      <c r="C575" s="13" t="s">
        <v>8</v>
      </c>
      <c r="D575" s="13" t="s">
        <v>9</v>
      </c>
      <c r="E575" s="13" t="s">
        <v>21</v>
      </c>
      <c r="F575">
        <v>6</v>
      </c>
      <c r="G575">
        <v>759.89</v>
      </c>
      <c r="H575">
        <v>4559.34</v>
      </c>
    </row>
    <row r="576" spans="1:8" x14ac:dyDescent="0.25">
      <c r="A576">
        <v>1575</v>
      </c>
      <c r="B576" s="1">
        <v>45397</v>
      </c>
      <c r="C576" s="13" t="s">
        <v>13</v>
      </c>
      <c r="D576" s="13" t="s">
        <v>15</v>
      </c>
      <c r="E576" s="13" t="s">
        <v>21</v>
      </c>
      <c r="F576">
        <v>11</v>
      </c>
      <c r="G576">
        <v>1497.08</v>
      </c>
      <c r="H576">
        <v>16467.88</v>
      </c>
    </row>
    <row r="577" spans="1:8" x14ac:dyDescent="0.25">
      <c r="A577">
        <v>1576</v>
      </c>
      <c r="B577" s="1">
        <v>45491</v>
      </c>
      <c r="C577" s="13" t="s">
        <v>13</v>
      </c>
      <c r="D577" s="13" t="s">
        <v>20</v>
      </c>
      <c r="E577" s="13" t="s">
        <v>10</v>
      </c>
      <c r="F577">
        <v>17</v>
      </c>
      <c r="G577">
        <v>130.44</v>
      </c>
      <c r="H577">
        <v>2217.48</v>
      </c>
    </row>
    <row r="578" spans="1:8" x14ac:dyDescent="0.25">
      <c r="A578">
        <v>1577</v>
      </c>
      <c r="B578" s="1">
        <v>45439</v>
      </c>
      <c r="C578" s="13" t="s">
        <v>8</v>
      </c>
      <c r="D578" s="13" t="s">
        <v>9</v>
      </c>
      <c r="E578" s="13" t="s">
        <v>14</v>
      </c>
      <c r="F578">
        <v>2</v>
      </c>
      <c r="G578">
        <v>1275.27</v>
      </c>
      <c r="H578">
        <v>2550.54</v>
      </c>
    </row>
    <row r="579" spans="1:8" x14ac:dyDescent="0.25">
      <c r="A579">
        <v>1578</v>
      </c>
      <c r="B579" s="1">
        <v>45593</v>
      </c>
      <c r="C579" s="13" t="s">
        <v>13</v>
      </c>
      <c r="D579" s="13" t="s">
        <v>15</v>
      </c>
      <c r="E579" s="13" t="s">
        <v>10</v>
      </c>
      <c r="F579">
        <v>17</v>
      </c>
      <c r="G579">
        <v>1149.6300000000001</v>
      </c>
      <c r="H579">
        <v>19543.71</v>
      </c>
    </row>
    <row r="580" spans="1:8" x14ac:dyDescent="0.25">
      <c r="A580">
        <v>1579</v>
      </c>
      <c r="B580" s="1">
        <v>45349</v>
      </c>
      <c r="C580" s="13" t="s">
        <v>19</v>
      </c>
      <c r="D580" s="13" t="s">
        <v>15</v>
      </c>
      <c r="E580" s="13" t="s">
        <v>12</v>
      </c>
      <c r="F580">
        <v>1</v>
      </c>
      <c r="G580">
        <v>1056.1400000000001</v>
      </c>
      <c r="H580">
        <v>1056.1400000000001</v>
      </c>
    </row>
    <row r="581" spans="1:8" x14ac:dyDescent="0.25">
      <c r="A581">
        <v>1580</v>
      </c>
      <c r="B581" s="1">
        <v>45578</v>
      </c>
      <c r="C581" s="13" t="s">
        <v>11</v>
      </c>
      <c r="D581" s="13" t="s">
        <v>15</v>
      </c>
      <c r="E581" s="13" t="s">
        <v>21</v>
      </c>
      <c r="F581">
        <v>6</v>
      </c>
      <c r="G581">
        <v>555.28</v>
      </c>
      <c r="H581">
        <v>3331.68</v>
      </c>
    </row>
    <row r="582" spans="1:8" x14ac:dyDescent="0.25">
      <c r="A582">
        <v>1581</v>
      </c>
      <c r="B582" s="1">
        <v>45490</v>
      </c>
      <c r="C582" s="13" t="s">
        <v>11</v>
      </c>
      <c r="D582" s="13" t="s">
        <v>18</v>
      </c>
      <c r="E582" s="13" t="s">
        <v>10</v>
      </c>
      <c r="F582">
        <v>10</v>
      </c>
      <c r="G582">
        <v>327.63</v>
      </c>
      <c r="H582">
        <v>3276.3</v>
      </c>
    </row>
    <row r="583" spans="1:8" x14ac:dyDescent="0.25">
      <c r="A583">
        <v>1582</v>
      </c>
      <c r="B583" s="1">
        <v>45525</v>
      </c>
      <c r="C583" s="13" t="s">
        <v>19</v>
      </c>
      <c r="D583" s="13" t="s">
        <v>9</v>
      </c>
      <c r="E583" s="13" t="s">
        <v>21</v>
      </c>
      <c r="F583">
        <v>5</v>
      </c>
      <c r="G583">
        <v>1018.84</v>
      </c>
      <c r="H583">
        <v>5094.2</v>
      </c>
    </row>
    <row r="584" spans="1:8" x14ac:dyDescent="0.25">
      <c r="A584">
        <v>1583</v>
      </c>
      <c r="B584" s="1">
        <v>45554</v>
      </c>
      <c r="C584" s="13" t="s">
        <v>13</v>
      </c>
      <c r="D584" s="13" t="s">
        <v>18</v>
      </c>
      <c r="E584" s="13" t="s">
        <v>16</v>
      </c>
      <c r="F584">
        <v>7</v>
      </c>
      <c r="G584">
        <v>897.19</v>
      </c>
      <c r="H584">
        <v>6280.33</v>
      </c>
    </row>
    <row r="585" spans="1:8" x14ac:dyDescent="0.25">
      <c r="A585">
        <v>1584</v>
      </c>
      <c r="B585" s="1">
        <v>45478</v>
      </c>
      <c r="C585" s="13" t="s">
        <v>11</v>
      </c>
      <c r="D585" s="13" t="s">
        <v>20</v>
      </c>
      <c r="E585" s="13" t="s">
        <v>14</v>
      </c>
      <c r="F585">
        <v>17</v>
      </c>
      <c r="G585">
        <v>1381.35</v>
      </c>
      <c r="H585">
        <v>23482.95</v>
      </c>
    </row>
    <row r="586" spans="1:8" x14ac:dyDescent="0.25">
      <c r="A586">
        <v>1585</v>
      </c>
      <c r="B586" s="1">
        <v>45411</v>
      </c>
      <c r="C586" s="13" t="s">
        <v>19</v>
      </c>
      <c r="D586" s="13" t="s">
        <v>20</v>
      </c>
      <c r="E586" s="13" t="s">
        <v>21</v>
      </c>
      <c r="F586">
        <v>9</v>
      </c>
      <c r="G586">
        <v>1034.0999999999999</v>
      </c>
      <c r="H586">
        <v>9306.9</v>
      </c>
    </row>
    <row r="587" spans="1:8" x14ac:dyDescent="0.25">
      <c r="A587">
        <v>1586</v>
      </c>
      <c r="B587" s="1">
        <v>45481</v>
      </c>
      <c r="C587" s="13" t="s">
        <v>8</v>
      </c>
      <c r="D587" s="13" t="s">
        <v>9</v>
      </c>
      <c r="E587" s="13" t="s">
        <v>16</v>
      </c>
      <c r="F587">
        <v>9</v>
      </c>
      <c r="G587">
        <v>420.65</v>
      </c>
      <c r="H587">
        <v>3785.85</v>
      </c>
    </row>
    <row r="588" spans="1:8" x14ac:dyDescent="0.25">
      <c r="A588">
        <v>1587</v>
      </c>
      <c r="B588" s="1">
        <v>45353</v>
      </c>
      <c r="C588" s="13" t="s">
        <v>8</v>
      </c>
      <c r="D588" s="13" t="s">
        <v>9</v>
      </c>
      <c r="E588" s="13" t="s">
        <v>16</v>
      </c>
      <c r="F588">
        <v>3</v>
      </c>
      <c r="G588">
        <v>59.86</v>
      </c>
      <c r="H588">
        <v>179.58</v>
      </c>
    </row>
    <row r="589" spans="1:8" x14ac:dyDescent="0.25">
      <c r="A589">
        <v>1588</v>
      </c>
      <c r="B589" s="1">
        <v>45455</v>
      </c>
      <c r="C589" s="13" t="s">
        <v>11</v>
      </c>
      <c r="D589" s="13" t="s">
        <v>9</v>
      </c>
      <c r="E589" s="13" t="s">
        <v>10</v>
      </c>
      <c r="F589">
        <v>4</v>
      </c>
      <c r="G589">
        <v>606.75</v>
      </c>
      <c r="H589">
        <v>2427</v>
      </c>
    </row>
    <row r="590" spans="1:8" x14ac:dyDescent="0.25">
      <c r="A590">
        <v>1589</v>
      </c>
      <c r="B590" s="1">
        <v>45395</v>
      </c>
      <c r="C590" s="13" t="s">
        <v>19</v>
      </c>
      <c r="D590" s="13" t="s">
        <v>15</v>
      </c>
      <c r="E590" s="13" t="s">
        <v>10</v>
      </c>
      <c r="F590">
        <v>5</v>
      </c>
      <c r="G590">
        <v>1367.09</v>
      </c>
      <c r="H590">
        <v>6835.45</v>
      </c>
    </row>
    <row r="591" spans="1:8" x14ac:dyDescent="0.25">
      <c r="A591">
        <v>1590</v>
      </c>
      <c r="B591" s="1">
        <v>45543</v>
      </c>
      <c r="C591" s="13" t="s">
        <v>8</v>
      </c>
      <c r="D591" s="13" t="s">
        <v>15</v>
      </c>
      <c r="E591" s="13" t="s">
        <v>10</v>
      </c>
      <c r="F591">
        <v>8</v>
      </c>
      <c r="G591">
        <v>574.5</v>
      </c>
      <c r="H591">
        <v>4596</v>
      </c>
    </row>
    <row r="592" spans="1:8" x14ac:dyDescent="0.25">
      <c r="A592">
        <v>1591</v>
      </c>
      <c r="B592" s="1">
        <v>45604</v>
      </c>
      <c r="C592" s="13" t="s">
        <v>19</v>
      </c>
      <c r="D592" s="13" t="s">
        <v>20</v>
      </c>
      <c r="E592" s="13" t="s">
        <v>16</v>
      </c>
      <c r="F592">
        <v>17</v>
      </c>
      <c r="G592">
        <v>438.38</v>
      </c>
      <c r="H592">
        <v>7452.46</v>
      </c>
    </row>
    <row r="593" spans="1:8" x14ac:dyDescent="0.25">
      <c r="A593">
        <v>1592</v>
      </c>
      <c r="B593" s="1">
        <v>45315</v>
      </c>
      <c r="C593" s="13" t="s">
        <v>8</v>
      </c>
      <c r="D593" s="13" t="s">
        <v>18</v>
      </c>
      <c r="E593" s="13" t="s">
        <v>16</v>
      </c>
      <c r="F593">
        <v>15</v>
      </c>
      <c r="G593">
        <v>1441.91</v>
      </c>
      <c r="H593">
        <v>21628.65</v>
      </c>
    </row>
    <row r="594" spans="1:8" x14ac:dyDescent="0.25">
      <c r="A594">
        <v>1593</v>
      </c>
      <c r="B594" s="1">
        <v>45449</v>
      </c>
      <c r="C594" s="13" t="s">
        <v>17</v>
      </c>
      <c r="D594" s="13" t="s">
        <v>20</v>
      </c>
      <c r="E594" s="13" t="s">
        <v>16</v>
      </c>
      <c r="F594">
        <v>7</v>
      </c>
      <c r="G594">
        <v>681.02</v>
      </c>
      <c r="H594">
        <v>4767.1399999999994</v>
      </c>
    </row>
    <row r="595" spans="1:8" x14ac:dyDescent="0.25">
      <c r="A595">
        <v>1594</v>
      </c>
      <c r="B595" s="1">
        <v>45573</v>
      </c>
      <c r="C595" s="13" t="s">
        <v>11</v>
      </c>
      <c r="D595" s="13" t="s">
        <v>15</v>
      </c>
      <c r="E595" s="13" t="s">
        <v>16</v>
      </c>
      <c r="F595">
        <v>14</v>
      </c>
      <c r="G595">
        <v>329.25</v>
      </c>
      <c r="H595">
        <v>4609.5</v>
      </c>
    </row>
    <row r="596" spans="1:8" x14ac:dyDescent="0.25">
      <c r="A596">
        <v>1595</v>
      </c>
      <c r="B596" s="1">
        <v>45401</v>
      </c>
      <c r="C596" s="13" t="s">
        <v>13</v>
      </c>
      <c r="D596" s="13" t="s">
        <v>15</v>
      </c>
      <c r="E596" s="13" t="s">
        <v>16</v>
      </c>
      <c r="F596">
        <v>2</v>
      </c>
      <c r="G596">
        <v>164.42</v>
      </c>
      <c r="H596">
        <v>328.84</v>
      </c>
    </row>
    <row r="597" spans="1:8" x14ac:dyDescent="0.25">
      <c r="A597">
        <v>1596</v>
      </c>
      <c r="B597" s="1">
        <v>45467</v>
      </c>
      <c r="C597" s="13" t="s">
        <v>19</v>
      </c>
      <c r="D597" s="13" t="s">
        <v>18</v>
      </c>
      <c r="E597" s="13" t="s">
        <v>21</v>
      </c>
      <c r="F597">
        <v>17</v>
      </c>
      <c r="G597">
        <v>488.52</v>
      </c>
      <c r="H597">
        <v>8304.84</v>
      </c>
    </row>
    <row r="598" spans="1:8" x14ac:dyDescent="0.25">
      <c r="A598">
        <v>1597</v>
      </c>
      <c r="B598" s="1">
        <v>45383</v>
      </c>
      <c r="C598" s="13" t="s">
        <v>8</v>
      </c>
      <c r="D598" s="13" t="s">
        <v>15</v>
      </c>
      <c r="E598" s="13" t="s">
        <v>16</v>
      </c>
      <c r="F598">
        <v>18</v>
      </c>
      <c r="G598">
        <v>459.07</v>
      </c>
      <c r="H598">
        <v>8263.26</v>
      </c>
    </row>
    <row r="599" spans="1:8" x14ac:dyDescent="0.25">
      <c r="A599">
        <v>1598</v>
      </c>
      <c r="B599" s="1">
        <v>45610</v>
      </c>
      <c r="C599" s="13" t="s">
        <v>11</v>
      </c>
      <c r="D599" s="13" t="s">
        <v>15</v>
      </c>
      <c r="E599" s="13" t="s">
        <v>14</v>
      </c>
      <c r="F599">
        <v>17</v>
      </c>
      <c r="G599">
        <v>390.03</v>
      </c>
      <c r="H599">
        <v>6630.5099999999993</v>
      </c>
    </row>
    <row r="600" spans="1:8" x14ac:dyDescent="0.25">
      <c r="A600">
        <v>1599</v>
      </c>
      <c r="B600" s="1">
        <v>45349</v>
      </c>
      <c r="C600" s="13" t="s">
        <v>19</v>
      </c>
      <c r="D600" s="13" t="s">
        <v>20</v>
      </c>
      <c r="E600" s="13" t="s">
        <v>14</v>
      </c>
      <c r="F600">
        <v>10</v>
      </c>
      <c r="G600">
        <v>1226.6199999999999</v>
      </c>
      <c r="H600">
        <v>12266.2</v>
      </c>
    </row>
    <row r="601" spans="1:8" x14ac:dyDescent="0.25">
      <c r="A601">
        <v>1600</v>
      </c>
      <c r="B601" s="1">
        <v>45300</v>
      </c>
      <c r="C601" s="13" t="s">
        <v>13</v>
      </c>
      <c r="D601" s="13" t="s">
        <v>9</v>
      </c>
      <c r="E601" s="13" t="s">
        <v>16</v>
      </c>
      <c r="F601">
        <v>19</v>
      </c>
      <c r="G601">
        <v>700.49</v>
      </c>
      <c r="H601">
        <v>13309.31</v>
      </c>
    </row>
    <row r="602" spans="1:8" x14ac:dyDescent="0.25">
      <c r="A602">
        <v>1601</v>
      </c>
      <c r="B602" s="1">
        <v>45475</v>
      </c>
      <c r="C602" s="13" t="s">
        <v>8</v>
      </c>
      <c r="D602" s="13" t="s">
        <v>9</v>
      </c>
      <c r="E602" s="13" t="s">
        <v>12</v>
      </c>
      <c r="F602">
        <v>4</v>
      </c>
      <c r="G602">
        <v>160.83000000000001</v>
      </c>
      <c r="H602">
        <v>643.32000000000005</v>
      </c>
    </row>
    <row r="603" spans="1:8" x14ac:dyDescent="0.25">
      <c r="A603">
        <v>1602</v>
      </c>
      <c r="B603" s="1">
        <v>45631</v>
      </c>
      <c r="C603" s="13" t="s">
        <v>13</v>
      </c>
      <c r="D603" s="13" t="s">
        <v>15</v>
      </c>
      <c r="E603" s="13" t="s">
        <v>14</v>
      </c>
      <c r="F603">
        <v>14</v>
      </c>
      <c r="G603">
        <v>101.56</v>
      </c>
      <c r="H603">
        <v>1421.84</v>
      </c>
    </row>
    <row r="604" spans="1:8" x14ac:dyDescent="0.25">
      <c r="A604">
        <v>1603</v>
      </c>
      <c r="B604" s="1">
        <v>45474</v>
      </c>
      <c r="C604" s="13" t="s">
        <v>11</v>
      </c>
      <c r="D604" s="13" t="s">
        <v>15</v>
      </c>
      <c r="E604" s="13" t="s">
        <v>14</v>
      </c>
      <c r="F604">
        <v>8</v>
      </c>
      <c r="G604">
        <v>482.06</v>
      </c>
      <c r="H604">
        <v>3856.48</v>
      </c>
    </row>
    <row r="605" spans="1:8" x14ac:dyDescent="0.25">
      <c r="A605">
        <v>1604</v>
      </c>
      <c r="B605" s="1">
        <v>45501</v>
      </c>
      <c r="C605" s="13" t="s">
        <v>8</v>
      </c>
      <c r="D605" s="13" t="s">
        <v>15</v>
      </c>
      <c r="E605" s="13" t="s">
        <v>16</v>
      </c>
      <c r="F605">
        <v>13</v>
      </c>
      <c r="G605">
        <v>310.02</v>
      </c>
      <c r="H605">
        <v>4030.26</v>
      </c>
    </row>
    <row r="606" spans="1:8" x14ac:dyDescent="0.25">
      <c r="A606">
        <v>1605</v>
      </c>
      <c r="B606" s="1">
        <v>45439</v>
      </c>
      <c r="C606" s="13" t="s">
        <v>13</v>
      </c>
      <c r="D606" s="13" t="s">
        <v>18</v>
      </c>
      <c r="E606" s="13" t="s">
        <v>16</v>
      </c>
      <c r="F606">
        <v>11</v>
      </c>
      <c r="G606">
        <v>197.77</v>
      </c>
      <c r="H606">
        <v>2175.4699999999998</v>
      </c>
    </row>
    <row r="607" spans="1:8" x14ac:dyDescent="0.25">
      <c r="A607">
        <v>1606</v>
      </c>
      <c r="B607" s="1">
        <v>45638</v>
      </c>
      <c r="C607" s="13" t="s">
        <v>11</v>
      </c>
      <c r="D607" s="13" t="s">
        <v>9</v>
      </c>
      <c r="E607" s="13" t="s">
        <v>12</v>
      </c>
      <c r="F607">
        <v>17</v>
      </c>
      <c r="G607">
        <v>1359.03</v>
      </c>
      <c r="H607">
        <v>23103.51</v>
      </c>
    </row>
    <row r="608" spans="1:8" x14ac:dyDescent="0.25">
      <c r="A608">
        <v>1607</v>
      </c>
      <c r="B608" s="1">
        <v>45455</v>
      </c>
      <c r="C608" s="13" t="s">
        <v>8</v>
      </c>
      <c r="D608" s="13" t="s">
        <v>18</v>
      </c>
      <c r="E608" s="13" t="s">
        <v>21</v>
      </c>
      <c r="F608">
        <v>6</v>
      </c>
      <c r="G608">
        <v>557.45000000000005</v>
      </c>
      <c r="H608">
        <v>3344.7</v>
      </c>
    </row>
    <row r="609" spans="1:8" x14ac:dyDescent="0.25">
      <c r="A609">
        <v>1608</v>
      </c>
      <c r="B609" s="1">
        <v>45401</v>
      </c>
      <c r="C609" s="13" t="s">
        <v>11</v>
      </c>
      <c r="D609" s="13" t="s">
        <v>9</v>
      </c>
      <c r="E609" s="13" t="s">
        <v>21</v>
      </c>
      <c r="F609">
        <v>15</v>
      </c>
      <c r="G609">
        <v>733.06</v>
      </c>
      <c r="H609">
        <v>10995.9</v>
      </c>
    </row>
    <row r="610" spans="1:8" x14ac:dyDescent="0.25">
      <c r="A610">
        <v>1609</v>
      </c>
      <c r="B610" s="1">
        <v>45554</v>
      </c>
      <c r="C610" s="13" t="s">
        <v>19</v>
      </c>
      <c r="D610" s="13" t="s">
        <v>15</v>
      </c>
      <c r="E610" s="13" t="s">
        <v>16</v>
      </c>
      <c r="F610">
        <v>16</v>
      </c>
      <c r="G610">
        <v>354.58</v>
      </c>
      <c r="H610">
        <v>5673.28</v>
      </c>
    </row>
    <row r="611" spans="1:8" x14ac:dyDescent="0.25">
      <c r="A611">
        <v>1610</v>
      </c>
      <c r="B611" s="1">
        <v>45317</v>
      </c>
      <c r="C611" s="13" t="s">
        <v>17</v>
      </c>
      <c r="D611" s="13" t="s">
        <v>15</v>
      </c>
      <c r="E611" s="13" t="s">
        <v>12</v>
      </c>
      <c r="F611">
        <v>18</v>
      </c>
      <c r="G611">
        <v>978.54</v>
      </c>
      <c r="H611">
        <v>17613.72</v>
      </c>
    </row>
    <row r="612" spans="1:8" x14ac:dyDescent="0.25">
      <c r="A612">
        <v>1611</v>
      </c>
      <c r="B612" s="1">
        <v>45592</v>
      </c>
      <c r="C612" s="13" t="s">
        <v>8</v>
      </c>
      <c r="D612" s="13" t="s">
        <v>15</v>
      </c>
      <c r="E612" s="13" t="s">
        <v>21</v>
      </c>
      <c r="F612">
        <v>18</v>
      </c>
      <c r="G612">
        <v>1251.05</v>
      </c>
      <c r="H612">
        <v>22518.9</v>
      </c>
    </row>
    <row r="613" spans="1:8" x14ac:dyDescent="0.25">
      <c r="A613">
        <v>1612</v>
      </c>
      <c r="B613" s="1">
        <v>45328</v>
      </c>
      <c r="C613" s="13" t="s">
        <v>17</v>
      </c>
      <c r="D613" s="13" t="s">
        <v>18</v>
      </c>
      <c r="E613" s="13" t="s">
        <v>21</v>
      </c>
      <c r="F613">
        <v>15</v>
      </c>
      <c r="G613">
        <v>1071.8499999999999</v>
      </c>
      <c r="H613">
        <v>16077.75</v>
      </c>
    </row>
    <row r="614" spans="1:8" x14ac:dyDescent="0.25">
      <c r="A614">
        <v>1613</v>
      </c>
      <c r="B614" s="1">
        <v>45482</v>
      </c>
      <c r="C614" s="13" t="s">
        <v>8</v>
      </c>
      <c r="D614" s="13" t="s">
        <v>9</v>
      </c>
      <c r="E614" s="13" t="s">
        <v>16</v>
      </c>
      <c r="F614">
        <v>9</v>
      </c>
      <c r="G614">
        <v>392.3</v>
      </c>
      <c r="H614">
        <v>3530.7</v>
      </c>
    </row>
    <row r="615" spans="1:8" x14ac:dyDescent="0.25">
      <c r="A615">
        <v>1614</v>
      </c>
      <c r="B615" s="1">
        <v>45410</v>
      </c>
      <c r="C615" s="13" t="s">
        <v>11</v>
      </c>
      <c r="D615" s="13" t="s">
        <v>9</v>
      </c>
      <c r="E615" s="13" t="s">
        <v>14</v>
      </c>
      <c r="F615">
        <v>5</v>
      </c>
      <c r="G615">
        <v>1357.53</v>
      </c>
      <c r="H615">
        <v>6787.65</v>
      </c>
    </row>
    <row r="616" spans="1:8" x14ac:dyDescent="0.25">
      <c r="A616">
        <v>1615</v>
      </c>
      <c r="B616" s="1">
        <v>45560</v>
      </c>
      <c r="C616" s="13" t="s">
        <v>8</v>
      </c>
      <c r="D616" s="13" t="s">
        <v>20</v>
      </c>
      <c r="E616" s="13" t="s">
        <v>10</v>
      </c>
      <c r="F616">
        <v>19</v>
      </c>
      <c r="G616">
        <v>184.54</v>
      </c>
      <c r="H616">
        <v>3506.26</v>
      </c>
    </row>
    <row r="617" spans="1:8" x14ac:dyDescent="0.25">
      <c r="A617">
        <v>1616</v>
      </c>
      <c r="B617" s="1">
        <v>45613</v>
      </c>
      <c r="C617" s="13" t="s">
        <v>8</v>
      </c>
      <c r="D617" s="13" t="s">
        <v>20</v>
      </c>
      <c r="E617" s="13" t="s">
        <v>10</v>
      </c>
      <c r="F617">
        <v>14</v>
      </c>
      <c r="G617">
        <v>1163.56</v>
      </c>
      <c r="H617">
        <v>16289.84</v>
      </c>
    </row>
    <row r="618" spans="1:8" x14ac:dyDescent="0.25">
      <c r="A618">
        <v>1617</v>
      </c>
      <c r="B618" s="1">
        <v>45626</v>
      </c>
      <c r="C618" s="13" t="s">
        <v>8</v>
      </c>
      <c r="D618" s="13" t="s">
        <v>20</v>
      </c>
      <c r="E618" s="13" t="s">
        <v>10</v>
      </c>
      <c r="F618">
        <v>7</v>
      </c>
      <c r="G618">
        <v>458.01</v>
      </c>
      <c r="H618">
        <v>3206.07</v>
      </c>
    </row>
    <row r="619" spans="1:8" x14ac:dyDescent="0.25">
      <c r="A619">
        <v>1618</v>
      </c>
      <c r="B619" s="1">
        <v>45655</v>
      </c>
      <c r="C619" s="13" t="s">
        <v>11</v>
      </c>
      <c r="D619" s="13" t="s">
        <v>18</v>
      </c>
      <c r="E619" s="13" t="s">
        <v>16</v>
      </c>
      <c r="F619">
        <v>7</v>
      </c>
      <c r="G619">
        <v>1077.27</v>
      </c>
      <c r="H619">
        <v>7540.8899999999994</v>
      </c>
    </row>
    <row r="620" spans="1:8" x14ac:dyDescent="0.25">
      <c r="A620">
        <v>1619</v>
      </c>
      <c r="B620" s="1">
        <v>45517</v>
      </c>
      <c r="C620" s="13" t="s">
        <v>19</v>
      </c>
      <c r="D620" s="13" t="s">
        <v>18</v>
      </c>
      <c r="E620" s="13" t="s">
        <v>16</v>
      </c>
      <c r="F620">
        <v>19</v>
      </c>
      <c r="G620">
        <v>261.13</v>
      </c>
      <c r="H620">
        <v>4961.47</v>
      </c>
    </row>
    <row r="621" spans="1:8" x14ac:dyDescent="0.25">
      <c r="A621">
        <v>1620</v>
      </c>
      <c r="B621" s="1">
        <v>45334</v>
      </c>
      <c r="C621" s="13" t="s">
        <v>17</v>
      </c>
      <c r="D621" s="13" t="s">
        <v>20</v>
      </c>
      <c r="E621" s="13" t="s">
        <v>12</v>
      </c>
      <c r="F621">
        <v>2</v>
      </c>
      <c r="G621">
        <v>397.8</v>
      </c>
      <c r="H621">
        <v>795.6</v>
      </c>
    </row>
    <row r="622" spans="1:8" x14ac:dyDescent="0.25">
      <c r="A622">
        <v>1621</v>
      </c>
      <c r="B622" s="1">
        <v>45595</v>
      </c>
      <c r="C622" s="13" t="s">
        <v>17</v>
      </c>
      <c r="D622" s="13" t="s">
        <v>9</v>
      </c>
      <c r="E622" s="13" t="s">
        <v>10</v>
      </c>
      <c r="F622">
        <v>3</v>
      </c>
      <c r="G622">
        <v>1195.1099999999999</v>
      </c>
      <c r="H622">
        <v>3585.33</v>
      </c>
    </row>
    <row r="623" spans="1:8" x14ac:dyDescent="0.25">
      <c r="A623">
        <v>1622</v>
      </c>
      <c r="B623" s="1">
        <v>45501</v>
      </c>
      <c r="C623" s="13" t="s">
        <v>17</v>
      </c>
      <c r="D623" s="13" t="s">
        <v>9</v>
      </c>
      <c r="E623" s="13" t="s">
        <v>10</v>
      </c>
      <c r="F623">
        <v>8</v>
      </c>
      <c r="G623">
        <v>515.85</v>
      </c>
      <c r="H623">
        <v>4126.8</v>
      </c>
    </row>
    <row r="624" spans="1:8" x14ac:dyDescent="0.25">
      <c r="A624">
        <v>1623</v>
      </c>
      <c r="B624" s="1">
        <v>45591</v>
      </c>
      <c r="C624" s="13" t="s">
        <v>13</v>
      </c>
      <c r="D624" s="13" t="s">
        <v>20</v>
      </c>
      <c r="E624" s="13" t="s">
        <v>10</v>
      </c>
      <c r="F624">
        <v>1</v>
      </c>
      <c r="G624">
        <v>377.57</v>
      </c>
      <c r="H624">
        <v>377.57</v>
      </c>
    </row>
    <row r="625" spans="1:8" x14ac:dyDescent="0.25">
      <c r="A625">
        <v>1624</v>
      </c>
      <c r="B625" s="1">
        <v>45403</v>
      </c>
      <c r="C625" s="13" t="s">
        <v>8</v>
      </c>
      <c r="D625" s="13" t="s">
        <v>15</v>
      </c>
      <c r="E625" s="13" t="s">
        <v>12</v>
      </c>
      <c r="F625">
        <v>12</v>
      </c>
      <c r="G625">
        <v>1367.67</v>
      </c>
      <c r="H625">
        <v>16412.04</v>
      </c>
    </row>
    <row r="626" spans="1:8" x14ac:dyDescent="0.25">
      <c r="A626">
        <v>1625</v>
      </c>
      <c r="B626" s="1">
        <v>45566</v>
      </c>
      <c r="C626" s="13" t="s">
        <v>13</v>
      </c>
      <c r="D626" s="13" t="s">
        <v>9</v>
      </c>
      <c r="E626" s="13" t="s">
        <v>12</v>
      </c>
      <c r="F626">
        <v>16</v>
      </c>
      <c r="G626">
        <v>1117.0999999999999</v>
      </c>
      <c r="H626">
        <v>17873.599999999999</v>
      </c>
    </row>
    <row r="627" spans="1:8" x14ac:dyDescent="0.25">
      <c r="A627">
        <v>1626</v>
      </c>
      <c r="B627" s="1">
        <v>45656</v>
      </c>
      <c r="C627" s="13" t="s">
        <v>11</v>
      </c>
      <c r="D627" s="13" t="s">
        <v>9</v>
      </c>
      <c r="E627" s="13" t="s">
        <v>14</v>
      </c>
      <c r="F627">
        <v>14</v>
      </c>
      <c r="G627">
        <v>473.47</v>
      </c>
      <c r="H627">
        <v>6628.58</v>
      </c>
    </row>
    <row r="628" spans="1:8" x14ac:dyDescent="0.25">
      <c r="A628">
        <v>1627</v>
      </c>
      <c r="B628" s="1">
        <v>45440</v>
      </c>
      <c r="C628" s="13" t="s">
        <v>17</v>
      </c>
      <c r="D628" s="13" t="s">
        <v>9</v>
      </c>
      <c r="E628" s="13" t="s">
        <v>10</v>
      </c>
      <c r="F628">
        <v>14</v>
      </c>
      <c r="G628">
        <v>1353.59</v>
      </c>
      <c r="H628">
        <v>18950.259999999998</v>
      </c>
    </row>
    <row r="629" spans="1:8" x14ac:dyDescent="0.25">
      <c r="A629">
        <v>1628</v>
      </c>
      <c r="B629" s="1">
        <v>45553</v>
      </c>
      <c r="C629" s="13" t="s">
        <v>8</v>
      </c>
      <c r="D629" s="13" t="s">
        <v>9</v>
      </c>
      <c r="E629" s="13" t="s">
        <v>16</v>
      </c>
      <c r="F629">
        <v>15</v>
      </c>
      <c r="G629">
        <v>280.57</v>
      </c>
      <c r="H629">
        <v>4208.55</v>
      </c>
    </row>
    <row r="630" spans="1:8" x14ac:dyDescent="0.25">
      <c r="A630">
        <v>1629</v>
      </c>
      <c r="B630" s="1">
        <v>45338</v>
      </c>
      <c r="C630" s="13" t="s">
        <v>17</v>
      </c>
      <c r="D630" s="13" t="s">
        <v>18</v>
      </c>
      <c r="E630" s="13" t="s">
        <v>16</v>
      </c>
      <c r="F630">
        <v>14</v>
      </c>
      <c r="G630">
        <v>267.63</v>
      </c>
      <c r="H630">
        <v>3746.82</v>
      </c>
    </row>
    <row r="631" spans="1:8" x14ac:dyDescent="0.25">
      <c r="A631">
        <v>1630</v>
      </c>
      <c r="B631" s="1">
        <v>45605</v>
      </c>
      <c r="C631" s="13" t="s">
        <v>11</v>
      </c>
      <c r="D631" s="13" t="s">
        <v>18</v>
      </c>
      <c r="E631" s="13" t="s">
        <v>10</v>
      </c>
      <c r="F631">
        <v>16</v>
      </c>
      <c r="G631">
        <v>710.07</v>
      </c>
      <c r="H631">
        <v>11361.12</v>
      </c>
    </row>
    <row r="632" spans="1:8" x14ac:dyDescent="0.25">
      <c r="A632">
        <v>1631</v>
      </c>
      <c r="B632" s="1">
        <v>45473</v>
      </c>
      <c r="C632" s="13" t="s">
        <v>11</v>
      </c>
      <c r="D632" s="13" t="s">
        <v>15</v>
      </c>
      <c r="E632" s="13" t="s">
        <v>12</v>
      </c>
      <c r="F632">
        <v>9</v>
      </c>
      <c r="G632">
        <v>524.24</v>
      </c>
      <c r="H632">
        <v>4718.16</v>
      </c>
    </row>
    <row r="633" spans="1:8" x14ac:dyDescent="0.25">
      <c r="A633">
        <v>1632</v>
      </c>
      <c r="B633" s="1">
        <v>45593</v>
      </c>
      <c r="C633" s="13" t="s">
        <v>17</v>
      </c>
      <c r="D633" s="13" t="s">
        <v>9</v>
      </c>
      <c r="E633" s="13" t="s">
        <v>21</v>
      </c>
      <c r="F633">
        <v>18</v>
      </c>
      <c r="G633">
        <v>1030.6400000000001</v>
      </c>
      <c r="H633">
        <v>18551.52</v>
      </c>
    </row>
    <row r="634" spans="1:8" x14ac:dyDescent="0.25">
      <c r="A634">
        <v>1633</v>
      </c>
      <c r="B634" s="1">
        <v>45581</v>
      </c>
      <c r="C634" s="13" t="s">
        <v>13</v>
      </c>
      <c r="D634" s="13" t="s">
        <v>15</v>
      </c>
      <c r="E634" s="13" t="s">
        <v>16</v>
      </c>
      <c r="F634">
        <v>8</v>
      </c>
      <c r="G634">
        <v>1171.46</v>
      </c>
      <c r="H634">
        <v>9371.68</v>
      </c>
    </row>
    <row r="635" spans="1:8" x14ac:dyDescent="0.25">
      <c r="A635">
        <v>1634</v>
      </c>
      <c r="B635" s="1">
        <v>45505</v>
      </c>
      <c r="C635" s="13" t="s">
        <v>17</v>
      </c>
      <c r="D635" s="13" t="s">
        <v>18</v>
      </c>
      <c r="E635" s="13" t="s">
        <v>14</v>
      </c>
      <c r="F635">
        <v>12</v>
      </c>
      <c r="G635">
        <v>1460.97</v>
      </c>
      <c r="H635">
        <v>17531.64</v>
      </c>
    </row>
    <row r="636" spans="1:8" x14ac:dyDescent="0.25">
      <c r="A636">
        <v>1635</v>
      </c>
      <c r="B636" s="1">
        <v>45524</v>
      </c>
      <c r="C636" s="13" t="s">
        <v>17</v>
      </c>
      <c r="D636" s="13" t="s">
        <v>9</v>
      </c>
      <c r="E636" s="13" t="s">
        <v>12</v>
      </c>
      <c r="F636">
        <v>3</v>
      </c>
      <c r="G636">
        <v>1056.3499999999999</v>
      </c>
      <c r="H636">
        <v>3169.05</v>
      </c>
    </row>
    <row r="637" spans="1:8" x14ac:dyDescent="0.25">
      <c r="A637">
        <v>1636</v>
      </c>
      <c r="B637" s="1">
        <v>45561</v>
      </c>
      <c r="C637" s="13" t="s">
        <v>19</v>
      </c>
      <c r="D637" s="13" t="s">
        <v>20</v>
      </c>
      <c r="E637" s="13" t="s">
        <v>10</v>
      </c>
      <c r="F637">
        <v>16</v>
      </c>
      <c r="G637">
        <v>100.74</v>
      </c>
      <c r="H637">
        <v>1611.84</v>
      </c>
    </row>
    <row r="638" spans="1:8" x14ac:dyDescent="0.25">
      <c r="A638">
        <v>1637</v>
      </c>
      <c r="B638" s="1">
        <v>45503</v>
      </c>
      <c r="C638" s="13" t="s">
        <v>19</v>
      </c>
      <c r="D638" s="13" t="s">
        <v>18</v>
      </c>
      <c r="E638" s="13" t="s">
        <v>14</v>
      </c>
      <c r="F638">
        <v>7</v>
      </c>
      <c r="G638">
        <v>370.01</v>
      </c>
      <c r="H638">
        <v>2590.0700000000002</v>
      </c>
    </row>
    <row r="639" spans="1:8" x14ac:dyDescent="0.25">
      <c r="A639">
        <v>1638</v>
      </c>
      <c r="B639" s="1">
        <v>45632</v>
      </c>
      <c r="C639" s="13" t="s">
        <v>17</v>
      </c>
      <c r="D639" s="13" t="s">
        <v>20</v>
      </c>
      <c r="E639" s="13" t="s">
        <v>21</v>
      </c>
      <c r="F639">
        <v>16</v>
      </c>
      <c r="G639">
        <v>1145.1300000000001</v>
      </c>
      <c r="H639">
        <v>18322.080000000002</v>
      </c>
    </row>
    <row r="640" spans="1:8" x14ac:dyDescent="0.25">
      <c r="A640">
        <v>1639</v>
      </c>
      <c r="B640" s="1">
        <v>45531</v>
      </c>
      <c r="C640" s="13" t="s">
        <v>17</v>
      </c>
      <c r="D640" s="13" t="s">
        <v>20</v>
      </c>
      <c r="E640" s="13" t="s">
        <v>10</v>
      </c>
      <c r="F640">
        <v>6</v>
      </c>
      <c r="G640">
        <v>443.05</v>
      </c>
      <c r="H640">
        <v>2658.3</v>
      </c>
    </row>
    <row r="641" spans="1:8" x14ac:dyDescent="0.25">
      <c r="A641">
        <v>1640</v>
      </c>
      <c r="B641" s="1">
        <v>45574</v>
      </c>
      <c r="C641" s="13" t="s">
        <v>11</v>
      </c>
      <c r="D641" s="13" t="s">
        <v>18</v>
      </c>
      <c r="E641" s="13" t="s">
        <v>16</v>
      </c>
      <c r="F641">
        <v>4</v>
      </c>
      <c r="G641">
        <v>626.34</v>
      </c>
      <c r="H641">
        <v>2505.36</v>
      </c>
    </row>
    <row r="642" spans="1:8" x14ac:dyDescent="0.25">
      <c r="A642">
        <v>1641</v>
      </c>
      <c r="B642" s="1">
        <v>45531</v>
      </c>
      <c r="C642" s="13" t="s">
        <v>8</v>
      </c>
      <c r="D642" s="13" t="s">
        <v>9</v>
      </c>
      <c r="E642" s="13" t="s">
        <v>12</v>
      </c>
      <c r="F642">
        <v>2</v>
      </c>
      <c r="G642">
        <v>540.15</v>
      </c>
      <c r="H642">
        <v>1080.3</v>
      </c>
    </row>
    <row r="643" spans="1:8" x14ac:dyDescent="0.25">
      <c r="A643">
        <v>1642</v>
      </c>
      <c r="B643" s="1">
        <v>45353</v>
      </c>
      <c r="C643" s="13" t="s">
        <v>8</v>
      </c>
      <c r="D643" s="13" t="s">
        <v>15</v>
      </c>
      <c r="E643" s="13" t="s">
        <v>12</v>
      </c>
      <c r="F643">
        <v>15</v>
      </c>
      <c r="G643">
        <v>1332.78</v>
      </c>
      <c r="H643">
        <v>19991.7</v>
      </c>
    </row>
    <row r="644" spans="1:8" x14ac:dyDescent="0.25">
      <c r="A644">
        <v>1643</v>
      </c>
      <c r="B644" s="1">
        <v>45499</v>
      </c>
      <c r="C644" s="13" t="s">
        <v>11</v>
      </c>
      <c r="D644" s="13" t="s">
        <v>20</v>
      </c>
      <c r="E644" s="13" t="s">
        <v>16</v>
      </c>
      <c r="F644">
        <v>16</v>
      </c>
      <c r="G644">
        <v>847.23</v>
      </c>
      <c r="H644">
        <v>13555.68</v>
      </c>
    </row>
    <row r="645" spans="1:8" x14ac:dyDescent="0.25">
      <c r="A645">
        <v>1644</v>
      </c>
      <c r="B645" s="1">
        <v>45647</v>
      </c>
      <c r="C645" s="13" t="s">
        <v>13</v>
      </c>
      <c r="D645" s="13" t="s">
        <v>20</v>
      </c>
      <c r="E645" s="13" t="s">
        <v>14</v>
      </c>
      <c r="F645">
        <v>13</v>
      </c>
      <c r="G645">
        <v>358.55</v>
      </c>
      <c r="H645">
        <v>4661.1500000000005</v>
      </c>
    </row>
    <row r="646" spans="1:8" x14ac:dyDescent="0.25">
      <c r="A646">
        <v>1645</v>
      </c>
      <c r="B646" s="1">
        <v>45467</v>
      </c>
      <c r="C646" s="13" t="s">
        <v>8</v>
      </c>
      <c r="D646" s="13" t="s">
        <v>15</v>
      </c>
      <c r="E646" s="13" t="s">
        <v>16</v>
      </c>
      <c r="F646">
        <v>3</v>
      </c>
      <c r="G646">
        <v>729.18</v>
      </c>
      <c r="H646">
        <v>2187.54</v>
      </c>
    </row>
    <row r="647" spans="1:8" x14ac:dyDescent="0.25">
      <c r="A647">
        <v>1646</v>
      </c>
      <c r="B647" s="1">
        <v>45432</v>
      </c>
      <c r="C647" s="13" t="s">
        <v>13</v>
      </c>
      <c r="D647" s="13" t="s">
        <v>18</v>
      </c>
      <c r="E647" s="13" t="s">
        <v>14</v>
      </c>
      <c r="F647">
        <v>15</v>
      </c>
      <c r="G647">
        <v>143.24</v>
      </c>
      <c r="H647">
        <v>2148.6</v>
      </c>
    </row>
    <row r="648" spans="1:8" x14ac:dyDescent="0.25">
      <c r="A648">
        <v>1647</v>
      </c>
      <c r="B648" s="1">
        <v>45376</v>
      </c>
      <c r="C648" s="13" t="s">
        <v>11</v>
      </c>
      <c r="D648" s="13" t="s">
        <v>15</v>
      </c>
      <c r="E648" s="13" t="s">
        <v>10</v>
      </c>
      <c r="F648">
        <v>13</v>
      </c>
      <c r="G648">
        <v>518.9</v>
      </c>
      <c r="H648">
        <v>6745.7</v>
      </c>
    </row>
    <row r="649" spans="1:8" x14ac:dyDescent="0.25">
      <c r="A649">
        <v>1648</v>
      </c>
      <c r="B649" s="1">
        <v>45555</v>
      </c>
      <c r="C649" s="13" t="s">
        <v>8</v>
      </c>
      <c r="D649" s="13" t="s">
        <v>15</v>
      </c>
      <c r="E649" s="13" t="s">
        <v>14</v>
      </c>
      <c r="F649">
        <v>1</v>
      </c>
      <c r="G649">
        <v>1074.73</v>
      </c>
      <c r="H649">
        <v>1074.73</v>
      </c>
    </row>
    <row r="650" spans="1:8" x14ac:dyDescent="0.25">
      <c r="A650">
        <v>1649</v>
      </c>
      <c r="B650" s="1">
        <v>45405</v>
      </c>
      <c r="C650" s="13" t="s">
        <v>13</v>
      </c>
      <c r="D650" s="13" t="s">
        <v>18</v>
      </c>
      <c r="E650" s="13" t="s">
        <v>10</v>
      </c>
      <c r="F650">
        <v>19</v>
      </c>
      <c r="G650">
        <v>121.08</v>
      </c>
      <c r="H650">
        <v>2300.52</v>
      </c>
    </row>
    <row r="651" spans="1:8" x14ac:dyDescent="0.25">
      <c r="A651">
        <v>1650</v>
      </c>
      <c r="B651" s="1">
        <v>45472</v>
      </c>
      <c r="C651" s="13" t="s">
        <v>11</v>
      </c>
      <c r="D651" s="13" t="s">
        <v>15</v>
      </c>
      <c r="E651" s="13" t="s">
        <v>16</v>
      </c>
      <c r="F651">
        <v>6</v>
      </c>
      <c r="G651">
        <v>243.17</v>
      </c>
      <c r="H651">
        <v>1459.02</v>
      </c>
    </row>
    <row r="652" spans="1:8" x14ac:dyDescent="0.25">
      <c r="A652">
        <v>1651</v>
      </c>
      <c r="B652" s="1">
        <v>45537</v>
      </c>
      <c r="C652" s="13" t="s">
        <v>19</v>
      </c>
      <c r="D652" s="13" t="s">
        <v>9</v>
      </c>
      <c r="E652" s="13" t="s">
        <v>10</v>
      </c>
      <c r="F652">
        <v>1</v>
      </c>
      <c r="G652">
        <v>1491.87</v>
      </c>
      <c r="H652">
        <v>1491.87</v>
      </c>
    </row>
    <row r="653" spans="1:8" x14ac:dyDescent="0.25">
      <c r="A653">
        <v>1652</v>
      </c>
      <c r="B653" s="1">
        <v>45603</v>
      </c>
      <c r="C653" s="13" t="s">
        <v>19</v>
      </c>
      <c r="D653" s="13" t="s">
        <v>15</v>
      </c>
      <c r="E653" s="13" t="s">
        <v>21</v>
      </c>
      <c r="F653">
        <v>18</v>
      </c>
      <c r="G653">
        <v>225.77</v>
      </c>
      <c r="H653">
        <v>4063.86</v>
      </c>
    </row>
    <row r="654" spans="1:8" x14ac:dyDescent="0.25">
      <c r="A654">
        <v>1653</v>
      </c>
      <c r="B654" s="1">
        <v>45403</v>
      </c>
      <c r="C654" s="13" t="s">
        <v>8</v>
      </c>
      <c r="D654" s="13" t="s">
        <v>9</v>
      </c>
      <c r="E654" s="13" t="s">
        <v>12</v>
      </c>
      <c r="F654">
        <v>11</v>
      </c>
      <c r="G654">
        <v>576.69000000000005</v>
      </c>
      <c r="H654">
        <v>6343.59</v>
      </c>
    </row>
    <row r="655" spans="1:8" x14ac:dyDescent="0.25">
      <c r="A655">
        <v>1654</v>
      </c>
      <c r="B655" s="1">
        <v>45608</v>
      </c>
      <c r="C655" s="13" t="s">
        <v>13</v>
      </c>
      <c r="D655" s="13" t="s">
        <v>18</v>
      </c>
      <c r="E655" s="13" t="s">
        <v>10</v>
      </c>
      <c r="F655">
        <v>18</v>
      </c>
      <c r="G655">
        <v>1266.8499999999999</v>
      </c>
      <c r="H655">
        <v>22803.3</v>
      </c>
    </row>
    <row r="656" spans="1:8" x14ac:dyDescent="0.25">
      <c r="A656">
        <v>1655</v>
      </c>
      <c r="B656" s="1">
        <v>45420</v>
      </c>
      <c r="C656" s="13" t="s">
        <v>19</v>
      </c>
      <c r="D656" s="13" t="s">
        <v>20</v>
      </c>
      <c r="E656" s="13" t="s">
        <v>16</v>
      </c>
      <c r="F656">
        <v>3</v>
      </c>
      <c r="G656">
        <v>478.63</v>
      </c>
      <c r="H656">
        <v>1435.89</v>
      </c>
    </row>
    <row r="657" spans="1:8" x14ac:dyDescent="0.25">
      <c r="A657">
        <v>1656</v>
      </c>
      <c r="B657" s="1">
        <v>45416</v>
      </c>
      <c r="C657" s="13" t="s">
        <v>13</v>
      </c>
      <c r="D657" s="13" t="s">
        <v>15</v>
      </c>
      <c r="E657" s="13" t="s">
        <v>21</v>
      </c>
      <c r="F657">
        <v>8</v>
      </c>
      <c r="G657">
        <v>1171.1400000000001</v>
      </c>
      <c r="H657">
        <v>9369.1200000000008</v>
      </c>
    </row>
    <row r="658" spans="1:8" x14ac:dyDescent="0.25">
      <c r="A658">
        <v>1657</v>
      </c>
      <c r="B658" s="1">
        <v>45538</v>
      </c>
      <c r="C658" s="13" t="s">
        <v>8</v>
      </c>
      <c r="D658" s="13" t="s">
        <v>9</v>
      </c>
      <c r="E658" s="13" t="s">
        <v>12</v>
      </c>
      <c r="F658">
        <v>10</v>
      </c>
      <c r="G658">
        <v>1265.94</v>
      </c>
      <c r="H658">
        <v>12659.4</v>
      </c>
    </row>
    <row r="659" spans="1:8" x14ac:dyDescent="0.25">
      <c r="A659">
        <v>1658</v>
      </c>
      <c r="B659" s="1">
        <v>45452</v>
      </c>
      <c r="C659" s="13" t="s">
        <v>19</v>
      </c>
      <c r="D659" s="13" t="s">
        <v>15</v>
      </c>
      <c r="E659" s="13" t="s">
        <v>21</v>
      </c>
      <c r="F659">
        <v>19</v>
      </c>
      <c r="G659">
        <v>264.27</v>
      </c>
      <c r="H659">
        <v>5021.1299999999992</v>
      </c>
    </row>
    <row r="660" spans="1:8" x14ac:dyDescent="0.25">
      <c r="A660">
        <v>1659</v>
      </c>
      <c r="B660" s="1">
        <v>45607</v>
      </c>
      <c r="C660" s="13" t="s">
        <v>11</v>
      </c>
      <c r="D660" s="13" t="s">
        <v>18</v>
      </c>
      <c r="E660" s="13" t="s">
        <v>16</v>
      </c>
      <c r="F660">
        <v>7</v>
      </c>
      <c r="G660">
        <v>552.65</v>
      </c>
      <c r="H660">
        <v>3868.55</v>
      </c>
    </row>
    <row r="661" spans="1:8" x14ac:dyDescent="0.25">
      <c r="A661">
        <v>1660</v>
      </c>
      <c r="B661" s="1">
        <v>45404</v>
      </c>
      <c r="C661" s="13" t="s">
        <v>8</v>
      </c>
      <c r="D661" s="13" t="s">
        <v>18</v>
      </c>
      <c r="E661" s="13" t="s">
        <v>16</v>
      </c>
      <c r="F661">
        <v>9</v>
      </c>
      <c r="G661">
        <v>801.15</v>
      </c>
      <c r="H661">
        <v>7210.3499999999995</v>
      </c>
    </row>
    <row r="662" spans="1:8" x14ac:dyDescent="0.25">
      <c r="A662">
        <v>1661</v>
      </c>
      <c r="B662" s="1">
        <v>45333</v>
      </c>
      <c r="C662" s="13" t="s">
        <v>13</v>
      </c>
      <c r="D662" s="13" t="s">
        <v>18</v>
      </c>
      <c r="E662" s="13" t="s">
        <v>21</v>
      </c>
      <c r="F662">
        <v>8</v>
      </c>
      <c r="G662">
        <v>1079.81</v>
      </c>
      <c r="H662">
        <v>8638.48</v>
      </c>
    </row>
    <row r="663" spans="1:8" x14ac:dyDescent="0.25">
      <c r="A663">
        <v>1662</v>
      </c>
      <c r="B663" s="1">
        <v>45408</v>
      </c>
      <c r="C663" s="13" t="s">
        <v>17</v>
      </c>
      <c r="D663" s="13" t="s">
        <v>15</v>
      </c>
      <c r="E663" s="13" t="s">
        <v>10</v>
      </c>
      <c r="F663">
        <v>13</v>
      </c>
      <c r="G663">
        <v>1089.75</v>
      </c>
      <c r="H663">
        <v>14166.75</v>
      </c>
    </row>
    <row r="664" spans="1:8" x14ac:dyDescent="0.25">
      <c r="A664">
        <v>1663</v>
      </c>
      <c r="B664" s="1">
        <v>45409</v>
      </c>
      <c r="C664" s="13" t="s">
        <v>17</v>
      </c>
      <c r="D664" s="13" t="s">
        <v>15</v>
      </c>
      <c r="E664" s="13" t="s">
        <v>12</v>
      </c>
      <c r="F664">
        <v>10</v>
      </c>
      <c r="G664">
        <v>152.81</v>
      </c>
      <c r="H664">
        <v>1528.1</v>
      </c>
    </row>
    <row r="665" spans="1:8" x14ac:dyDescent="0.25">
      <c r="A665">
        <v>1664</v>
      </c>
      <c r="B665" s="1">
        <v>45389</v>
      </c>
      <c r="C665" s="13" t="s">
        <v>13</v>
      </c>
      <c r="D665" s="13" t="s">
        <v>15</v>
      </c>
      <c r="E665" s="13" t="s">
        <v>21</v>
      </c>
      <c r="F665">
        <v>1</v>
      </c>
      <c r="G665">
        <v>307.64</v>
      </c>
      <c r="H665">
        <v>307.64</v>
      </c>
    </row>
    <row r="666" spans="1:8" x14ac:dyDescent="0.25">
      <c r="A666">
        <v>1665</v>
      </c>
      <c r="B666" s="1">
        <v>45595</v>
      </c>
      <c r="C666" s="13" t="s">
        <v>17</v>
      </c>
      <c r="D666" s="13" t="s">
        <v>20</v>
      </c>
      <c r="E666" s="13" t="s">
        <v>21</v>
      </c>
      <c r="F666">
        <v>10</v>
      </c>
      <c r="G666">
        <v>1379.31</v>
      </c>
      <c r="H666">
        <v>13793.1</v>
      </c>
    </row>
    <row r="667" spans="1:8" x14ac:dyDescent="0.25">
      <c r="A667">
        <v>1666</v>
      </c>
      <c r="B667" s="1">
        <v>45586</v>
      </c>
      <c r="C667" s="13" t="s">
        <v>11</v>
      </c>
      <c r="D667" s="13" t="s">
        <v>9</v>
      </c>
      <c r="E667" s="13" t="s">
        <v>14</v>
      </c>
      <c r="F667">
        <v>7</v>
      </c>
      <c r="G667">
        <v>753.11</v>
      </c>
      <c r="H667">
        <v>5271.77</v>
      </c>
    </row>
    <row r="668" spans="1:8" x14ac:dyDescent="0.25">
      <c r="A668">
        <v>1667</v>
      </c>
      <c r="B668" s="1">
        <v>45470</v>
      </c>
      <c r="C668" s="13" t="s">
        <v>13</v>
      </c>
      <c r="D668" s="13" t="s">
        <v>18</v>
      </c>
      <c r="E668" s="13" t="s">
        <v>16</v>
      </c>
      <c r="F668">
        <v>7</v>
      </c>
      <c r="G668">
        <v>128.59</v>
      </c>
      <c r="H668">
        <v>900.13</v>
      </c>
    </row>
    <row r="669" spans="1:8" x14ac:dyDescent="0.25">
      <c r="A669">
        <v>1668</v>
      </c>
      <c r="B669" s="1">
        <v>45645</v>
      </c>
      <c r="C669" s="13" t="s">
        <v>11</v>
      </c>
      <c r="D669" s="13" t="s">
        <v>15</v>
      </c>
      <c r="E669" s="13" t="s">
        <v>16</v>
      </c>
      <c r="F669">
        <v>7</v>
      </c>
      <c r="G669">
        <v>1211.5899999999999</v>
      </c>
      <c r="H669">
        <v>8481.1299999999992</v>
      </c>
    </row>
    <row r="670" spans="1:8" x14ac:dyDescent="0.25">
      <c r="A670">
        <v>1669</v>
      </c>
      <c r="B670" s="1">
        <v>45403</v>
      </c>
      <c r="C670" s="13" t="s">
        <v>17</v>
      </c>
      <c r="D670" s="13" t="s">
        <v>18</v>
      </c>
      <c r="E670" s="13" t="s">
        <v>10</v>
      </c>
      <c r="F670">
        <v>8</v>
      </c>
      <c r="G670">
        <v>832.46</v>
      </c>
      <c r="H670">
        <v>6659.68</v>
      </c>
    </row>
    <row r="671" spans="1:8" x14ac:dyDescent="0.25">
      <c r="A671">
        <v>1670</v>
      </c>
      <c r="B671" s="1">
        <v>45323</v>
      </c>
      <c r="C671" s="13" t="s">
        <v>11</v>
      </c>
      <c r="D671" s="13" t="s">
        <v>15</v>
      </c>
      <c r="E671" s="13" t="s">
        <v>10</v>
      </c>
      <c r="F671">
        <v>17</v>
      </c>
      <c r="G671">
        <v>977.9</v>
      </c>
      <c r="H671">
        <v>16624.3</v>
      </c>
    </row>
    <row r="672" spans="1:8" x14ac:dyDescent="0.25">
      <c r="A672">
        <v>1671</v>
      </c>
      <c r="B672" s="1">
        <v>45641</v>
      </c>
      <c r="C672" s="13" t="s">
        <v>8</v>
      </c>
      <c r="D672" s="13" t="s">
        <v>15</v>
      </c>
      <c r="E672" s="13" t="s">
        <v>10</v>
      </c>
      <c r="F672">
        <v>9</v>
      </c>
      <c r="G672">
        <v>261.48</v>
      </c>
      <c r="H672">
        <v>2353.3200000000002</v>
      </c>
    </row>
    <row r="673" spans="1:8" x14ac:dyDescent="0.25">
      <c r="A673">
        <v>1672</v>
      </c>
      <c r="B673" s="1">
        <v>45625</v>
      </c>
      <c r="C673" s="13" t="s">
        <v>8</v>
      </c>
      <c r="D673" s="13" t="s">
        <v>18</v>
      </c>
      <c r="E673" s="13" t="s">
        <v>14</v>
      </c>
      <c r="F673">
        <v>4</v>
      </c>
      <c r="G673">
        <v>1438.37</v>
      </c>
      <c r="H673">
        <v>5753.48</v>
      </c>
    </row>
    <row r="674" spans="1:8" x14ac:dyDescent="0.25">
      <c r="A674">
        <v>1673</v>
      </c>
      <c r="B674" s="1">
        <v>45326</v>
      </c>
      <c r="C674" s="13" t="s">
        <v>11</v>
      </c>
      <c r="D674" s="13" t="s">
        <v>20</v>
      </c>
      <c r="E674" s="13" t="s">
        <v>14</v>
      </c>
      <c r="F674">
        <v>13</v>
      </c>
      <c r="G674">
        <v>1469.37</v>
      </c>
      <c r="H674">
        <v>19101.810000000001</v>
      </c>
    </row>
    <row r="675" spans="1:8" x14ac:dyDescent="0.25">
      <c r="A675">
        <v>1674</v>
      </c>
      <c r="B675" s="1">
        <v>45305</v>
      </c>
      <c r="C675" s="13" t="s">
        <v>8</v>
      </c>
      <c r="D675" s="13" t="s">
        <v>15</v>
      </c>
      <c r="E675" s="13" t="s">
        <v>16</v>
      </c>
      <c r="F675">
        <v>2</v>
      </c>
      <c r="G675">
        <v>898.34</v>
      </c>
      <c r="H675">
        <v>1796.68</v>
      </c>
    </row>
    <row r="676" spans="1:8" x14ac:dyDescent="0.25">
      <c r="A676">
        <v>1675</v>
      </c>
      <c r="B676" s="1">
        <v>45410</v>
      </c>
      <c r="C676" s="13" t="s">
        <v>17</v>
      </c>
      <c r="D676" s="13" t="s">
        <v>9</v>
      </c>
      <c r="E676" s="13" t="s">
        <v>14</v>
      </c>
      <c r="F676">
        <v>16</v>
      </c>
      <c r="G676">
        <v>186.6</v>
      </c>
      <c r="H676">
        <v>2985.6</v>
      </c>
    </row>
    <row r="677" spans="1:8" x14ac:dyDescent="0.25">
      <c r="A677">
        <v>1676</v>
      </c>
      <c r="B677" s="1">
        <v>45485</v>
      </c>
      <c r="C677" s="13" t="s">
        <v>8</v>
      </c>
      <c r="D677" s="13" t="s">
        <v>18</v>
      </c>
      <c r="E677" s="13" t="s">
        <v>10</v>
      </c>
      <c r="F677">
        <v>4</v>
      </c>
      <c r="G677">
        <v>263.87</v>
      </c>
      <c r="H677">
        <v>1055.48</v>
      </c>
    </row>
    <row r="678" spans="1:8" x14ac:dyDescent="0.25">
      <c r="A678">
        <v>1677</v>
      </c>
      <c r="B678" s="1">
        <v>45466</v>
      </c>
      <c r="C678" s="13" t="s">
        <v>17</v>
      </c>
      <c r="D678" s="13" t="s">
        <v>20</v>
      </c>
      <c r="E678" s="13" t="s">
        <v>21</v>
      </c>
      <c r="F678">
        <v>16</v>
      </c>
      <c r="G678">
        <v>1059.3399999999999</v>
      </c>
      <c r="H678">
        <v>16949.439999999999</v>
      </c>
    </row>
    <row r="679" spans="1:8" x14ac:dyDescent="0.25">
      <c r="A679">
        <v>1678</v>
      </c>
      <c r="B679" s="1">
        <v>45402</v>
      </c>
      <c r="C679" s="13" t="s">
        <v>11</v>
      </c>
      <c r="D679" s="13" t="s">
        <v>9</v>
      </c>
      <c r="E679" s="13" t="s">
        <v>21</v>
      </c>
      <c r="F679">
        <v>13</v>
      </c>
      <c r="G679">
        <v>539.94000000000005</v>
      </c>
      <c r="H679">
        <v>7019.2200000000012</v>
      </c>
    </row>
    <row r="680" spans="1:8" x14ac:dyDescent="0.25">
      <c r="A680">
        <v>1679</v>
      </c>
      <c r="B680" s="1">
        <v>45637</v>
      </c>
      <c r="C680" s="13" t="s">
        <v>13</v>
      </c>
      <c r="D680" s="13" t="s">
        <v>15</v>
      </c>
      <c r="E680" s="13" t="s">
        <v>10</v>
      </c>
      <c r="F680">
        <v>4</v>
      </c>
      <c r="G680">
        <v>1190.33</v>
      </c>
      <c r="H680">
        <v>4761.32</v>
      </c>
    </row>
    <row r="681" spans="1:8" x14ac:dyDescent="0.25">
      <c r="A681">
        <v>1680</v>
      </c>
      <c r="B681" s="1">
        <v>45648</v>
      </c>
      <c r="C681" s="13" t="s">
        <v>11</v>
      </c>
      <c r="D681" s="13" t="s">
        <v>15</v>
      </c>
      <c r="E681" s="13" t="s">
        <v>14</v>
      </c>
      <c r="F681">
        <v>1</v>
      </c>
      <c r="G681">
        <v>1138</v>
      </c>
      <c r="H681">
        <v>1138</v>
      </c>
    </row>
    <row r="682" spans="1:8" x14ac:dyDescent="0.25">
      <c r="A682">
        <v>1681</v>
      </c>
      <c r="B682" s="1">
        <v>45479</v>
      </c>
      <c r="C682" s="13" t="s">
        <v>8</v>
      </c>
      <c r="D682" s="13" t="s">
        <v>18</v>
      </c>
      <c r="E682" s="13" t="s">
        <v>16</v>
      </c>
      <c r="F682">
        <v>15</v>
      </c>
      <c r="G682">
        <v>1063.1300000000001</v>
      </c>
      <c r="H682">
        <v>15946.95</v>
      </c>
    </row>
    <row r="683" spans="1:8" x14ac:dyDescent="0.25">
      <c r="A683">
        <v>1682</v>
      </c>
      <c r="B683" s="1">
        <v>45405</v>
      </c>
      <c r="C683" s="13" t="s">
        <v>17</v>
      </c>
      <c r="D683" s="13" t="s">
        <v>18</v>
      </c>
      <c r="E683" s="13" t="s">
        <v>16</v>
      </c>
      <c r="F683">
        <v>4</v>
      </c>
      <c r="G683">
        <v>554.97</v>
      </c>
      <c r="H683">
        <v>2219.88</v>
      </c>
    </row>
    <row r="684" spans="1:8" x14ac:dyDescent="0.25">
      <c r="A684">
        <v>1683</v>
      </c>
      <c r="B684" s="1">
        <v>45387</v>
      </c>
      <c r="C684" s="13" t="s">
        <v>13</v>
      </c>
      <c r="D684" s="13" t="s">
        <v>15</v>
      </c>
      <c r="E684" s="13" t="s">
        <v>14</v>
      </c>
      <c r="F684">
        <v>16</v>
      </c>
      <c r="G684">
        <v>701.31</v>
      </c>
      <c r="H684">
        <v>11220.96</v>
      </c>
    </row>
    <row r="685" spans="1:8" x14ac:dyDescent="0.25">
      <c r="A685">
        <v>1684</v>
      </c>
      <c r="B685" s="1">
        <v>45323</v>
      </c>
      <c r="C685" s="13" t="s">
        <v>11</v>
      </c>
      <c r="D685" s="13" t="s">
        <v>18</v>
      </c>
      <c r="E685" s="13" t="s">
        <v>21</v>
      </c>
      <c r="F685">
        <v>18</v>
      </c>
      <c r="G685">
        <v>194.6</v>
      </c>
      <c r="H685">
        <v>3502.8</v>
      </c>
    </row>
    <row r="686" spans="1:8" x14ac:dyDescent="0.25">
      <c r="A686">
        <v>1685</v>
      </c>
      <c r="B686" s="1">
        <v>45586</v>
      </c>
      <c r="C686" s="13" t="s">
        <v>11</v>
      </c>
      <c r="D686" s="13" t="s">
        <v>18</v>
      </c>
      <c r="E686" s="13" t="s">
        <v>16</v>
      </c>
      <c r="F686">
        <v>3</v>
      </c>
      <c r="G686">
        <v>433.64</v>
      </c>
      <c r="H686">
        <v>1300.92</v>
      </c>
    </row>
    <row r="687" spans="1:8" x14ac:dyDescent="0.25">
      <c r="A687">
        <v>1686</v>
      </c>
      <c r="B687" s="1">
        <v>45504</v>
      </c>
      <c r="C687" s="13" t="s">
        <v>17</v>
      </c>
      <c r="D687" s="13" t="s">
        <v>15</v>
      </c>
      <c r="E687" s="13" t="s">
        <v>14</v>
      </c>
      <c r="F687">
        <v>17</v>
      </c>
      <c r="G687">
        <v>1093.42</v>
      </c>
      <c r="H687">
        <v>18588.14</v>
      </c>
    </row>
    <row r="688" spans="1:8" x14ac:dyDescent="0.25">
      <c r="A688">
        <v>1687</v>
      </c>
      <c r="B688" s="1">
        <v>45343</v>
      </c>
      <c r="C688" s="13" t="s">
        <v>13</v>
      </c>
      <c r="D688" s="13" t="s">
        <v>15</v>
      </c>
      <c r="E688" s="13" t="s">
        <v>12</v>
      </c>
      <c r="F688">
        <v>9</v>
      </c>
      <c r="G688">
        <v>1086.82</v>
      </c>
      <c r="H688">
        <v>9781.3799999999992</v>
      </c>
    </row>
    <row r="689" spans="1:8" x14ac:dyDescent="0.25">
      <c r="A689">
        <v>1688</v>
      </c>
      <c r="B689" s="1">
        <v>45383</v>
      </c>
      <c r="C689" s="13" t="s">
        <v>19</v>
      </c>
      <c r="D689" s="13" t="s">
        <v>15</v>
      </c>
      <c r="E689" s="13" t="s">
        <v>14</v>
      </c>
      <c r="F689">
        <v>3</v>
      </c>
      <c r="G689">
        <v>756.22</v>
      </c>
      <c r="H689">
        <v>2268.66</v>
      </c>
    </row>
    <row r="690" spans="1:8" x14ac:dyDescent="0.25">
      <c r="A690">
        <v>1689</v>
      </c>
      <c r="B690" s="1">
        <v>45418</v>
      </c>
      <c r="C690" s="13" t="s">
        <v>8</v>
      </c>
      <c r="D690" s="13" t="s">
        <v>18</v>
      </c>
      <c r="E690" s="13" t="s">
        <v>16</v>
      </c>
      <c r="F690">
        <v>14</v>
      </c>
      <c r="G690">
        <v>998.13</v>
      </c>
      <c r="H690">
        <v>13973.82</v>
      </c>
    </row>
    <row r="691" spans="1:8" x14ac:dyDescent="0.25">
      <c r="A691">
        <v>1690</v>
      </c>
      <c r="B691" s="1">
        <v>45468</v>
      </c>
      <c r="C691" s="13" t="s">
        <v>19</v>
      </c>
      <c r="D691" s="13" t="s">
        <v>15</v>
      </c>
      <c r="E691" s="13" t="s">
        <v>16</v>
      </c>
      <c r="F691">
        <v>10</v>
      </c>
      <c r="G691">
        <v>897.7</v>
      </c>
      <c r="H691">
        <v>8977</v>
      </c>
    </row>
    <row r="692" spans="1:8" x14ac:dyDescent="0.25">
      <c r="A692">
        <v>1691</v>
      </c>
      <c r="B692" s="1">
        <v>45649</v>
      </c>
      <c r="C692" s="13" t="s">
        <v>8</v>
      </c>
      <c r="D692" s="13" t="s">
        <v>18</v>
      </c>
      <c r="E692" s="13" t="s">
        <v>16</v>
      </c>
      <c r="F692">
        <v>3</v>
      </c>
      <c r="G692">
        <v>1474.66</v>
      </c>
      <c r="H692">
        <v>4423.9799999999996</v>
      </c>
    </row>
    <row r="693" spans="1:8" x14ac:dyDescent="0.25">
      <c r="A693">
        <v>1692</v>
      </c>
      <c r="B693" s="1">
        <v>45450</v>
      </c>
      <c r="C693" s="13" t="s">
        <v>13</v>
      </c>
      <c r="D693" s="13" t="s">
        <v>15</v>
      </c>
      <c r="E693" s="13" t="s">
        <v>21</v>
      </c>
      <c r="F693">
        <v>12</v>
      </c>
      <c r="G693">
        <v>1280.55</v>
      </c>
      <c r="H693">
        <v>15366.6</v>
      </c>
    </row>
    <row r="694" spans="1:8" x14ac:dyDescent="0.25">
      <c r="A694">
        <v>1693</v>
      </c>
      <c r="B694" s="1">
        <v>45292</v>
      </c>
      <c r="C694" s="13" t="s">
        <v>19</v>
      </c>
      <c r="D694" s="13" t="s">
        <v>9</v>
      </c>
      <c r="E694" s="13" t="s">
        <v>21</v>
      </c>
      <c r="F694">
        <v>14</v>
      </c>
      <c r="G694">
        <v>760.55</v>
      </c>
      <c r="H694">
        <v>10647.7</v>
      </c>
    </row>
    <row r="695" spans="1:8" x14ac:dyDescent="0.25">
      <c r="A695">
        <v>1694</v>
      </c>
      <c r="B695" s="1">
        <v>45454</v>
      </c>
      <c r="C695" s="13" t="s">
        <v>17</v>
      </c>
      <c r="D695" s="13" t="s">
        <v>9</v>
      </c>
      <c r="E695" s="13" t="s">
        <v>12</v>
      </c>
      <c r="F695">
        <v>14</v>
      </c>
      <c r="G695">
        <v>463.45</v>
      </c>
      <c r="H695">
        <v>6488.3</v>
      </c>
    </row>
    <row r="696" spans="1:8" x14ac:dyDescent="0.25">
      <c r="A696">
        <v>1695</v>
      </c>
      <c r="B696" s="1">
        <v>45384</v>
      </c>
      <c r="C696" s="13" t="s">
        <v>13</v>
      </c>
      <c r="D696" s="13" t="s">
        <v>9</v>
      </c>
      <c r="E696" s="13" t="s">
        <v>16</v>
      </c>
      <c r="F696">
        <v>7</v>
      </c>
      <c r="G696">
        <v>1443.75</v>
      </c>
      <c r="H696">
        <v>10106.25</v>
      </c>
    </row>
    <row r="697" spans="1:8" x14ac:dyDescent="0.25">
      <c r="A697">
        <v>1696</v>
      </c>
      <c r="B697" s="1">
        <v>45605</v>
      </c>
      <c r="C697" s="13" t="s">
        <v>8</v>
      </c>
      <c r="D697" s="13" t="s">
        <v>15</v>
      </c>
      <c r="E697" s="13" t="s">
        <v>14</v>
      </c>
      <c r="F697">
        <v>5</v>
      </c>
      <c r="G697">
        <v>1273.72</v>
      </c>
      <c r="H697">
        <v>6368.6</v>
      </c>
    </row>
    <row r="698" spans="1:8" x14ac:dyDescent="0.25">
      <c r="A698">
        <v>1697</v>
      </c>
      <c r="B698" s="1">
        <v>45333</v>
      </c>
      <c r="C698" s="13" t="s">
        <v>11</v>
      </c>
      <c r="D698" s="13" t="s">
        <v>20</v>
      </c>
      <c r="E698" s="13" t="s">
        <v>21</v>
      </c>
      <c r="F698">
        <v>11</v>
      </c>
      <c r="G698">
        <v>514.11</v>
      </c>
      <c r="H698">
        <v>5655.21</v>
      </c>
    </row>
    <row r="699" spans="1:8" x14ac:dyDescent="0.25">
      <c r="A699">
        <v>1698</v>
      </c>
      <c r="B699" s="1">
        <v>45625</v>
      </c>
      <c r="C699" s="13" t="s">
        <v>11</v>
      </c>
      <c r="D699" s="13" t="s">
        <v>20</v>
      </c>
      <c r="E699" s="13" t="s">
        <v>12</v>
      </c>
      <c r="F699">
        <v>3</v>
      </c>
      <c r="G699">
        <v>543.84</v>
      </c>
      <c r="H699">
        <v>1631.52</v>
      </c>
    </row>
    <row r="700" spans="1:8" x14ac:dyDescent="0.25">
      <c r="A700">
        <v>1699</v>
      </c>
      <c r="B700" s="1">
        <v>45423</v>
      </c>
      <c r="C700" s="13" t="s">
        <v>13</v>
      </c>
      <c r="D700" s="13" t="s">
        <v>15</v>
      </c>
      <c r="E700" s="13" t="s">
        <v>12</v>
      </c>
      <c r="F700">
        <v>7</v>
      </c>
      <c r="G700">
        <v>95.09</v>
      </c>
      <c r="H700">
        <v>665.63</v>
      </c>
    </row>
    <row r="701" spans="1:8" x14ac:dyDescent="0.25">
      <c r="A701">
        <v>1700</v>
      </c>
      <c r="B701" s="1">
        <v>45456</v>
      </c>
      <c r="C701" s="13" t="s">
        <v>11</v>
      </c>
      <c r="D701" s="13" t="s">
        <v>15</v>
      </c>
      <c r="E701" s="13" t="s">
        <v>10</v>
      </c>
      <c r="F701">
        <v>17</v>
      </c>
      <c r="G701">
        <v>684.22</v>
      </c>
      <c r="H701">
        <v>11631.74</v>
      </c>
    </row>
    <row r="702" spans="1:8" x14ac:dyDescent="0.25">
      <c r="A702">
        <v>1701</v>
      </c>
      <c r="B702" s="1">
        <v>45526</v>
      </c>
      <c r="C702" s="13" t="s">
        <v>19</v>
      </c>
      <c r="D702" s="13" t="s">
        <v>15</v>
      </c>
      <c r="E702" s="13" t="s">
        <v>16</v>
      </c>
      <c r="F702">
        <v>5</v>
      </c>
      <c r="G702">
        <v>452.45</v>
      </c>
      <c r="H702">
        <v>2262.25</v>
      </c>
    </row>
    <row r="703" spans="1:8" x14ac:dyDescent="0.25">
      <c r="A703">
        <v>1702</v>
      </c>
      <c r="B703" s="1">
        <v>45591</v>
      </c>
      <c r="C703" s="13" t="s">
        <v>11</v>
      </c>
      <c r="D703" s="13" t="s">
        <v>20</v>
      </c>
      <c r="E703" s="13" t="s">
        <v>10</v>
      </c>
      <c r="F703">
        <v>3</v>
      </c>
      <c r="G703">
        <v>115.18</v>
      </c>
      <c r="H703">
        <v>345.54</v>
      </c>
    </row>
    <row r="704" spans="1:8" x14ac:dyDescent="0.25">
      <c r="A704">
        <v>1703</v>
      </c>
      <c r="B704" s="1">
        <v>45493</v>
      </c>
      <c r="C704" s="13" t="s">
        <v>8</v>
      </c>
      <c r="D704" s="13" t="s">
        <v>18</v>
      </c>
      <c r="E704" s="13" t="s">
        <v>16</v>
      </c>
      <c r="F704">
        <v>5</v>
      </c>
      <c r="G704">
        <v>253.1</v>
      </c>
      <c r="H704">
        <v>1265.5</v>
      </c>
    </row>
    <row r="705" spans="1:8" x14ac:dyDescent="0.25">
      <c r="A705">
        <v>1704</v>
      </c>
      <c r="B705" s="1">
        <v>45522</v>
      </c>
      <c r="C705" s="13" t="s">
        <v>19</v>
      </c>
      <c r="D705" s="13" t="s">
        <v>9</v>
      </c>
      <c r="E705" s="13" t="s">
        <v>10</v>
      </c>
      <c r="F705">
        <v>8</v>
      </c>
      <c r="G705">
        <v>431.39</v>
      </c>
      <c r="H705">
        <v>3451.12</v>
      </c>
    </row>
    <row r="706" spans="1:8" x14ac:dyDescent="0.25">
      <c r="A706">
        <v>1705</v>
      </c>
      <c r="B706" s="1">
        <v>45420</v>
      </c>
      <c r="C706" s="13" t="s">
        <v>11</v>
      </c>
      <c r="D706" s="13" t="s">
        <v>18</v>
      </c>
      <c r="E706" s="13" t="s">
        <v>10</v>
      </c>
      <c r="F706">
        <v>10</v>
      </c>
      <c r="G706">
        <v>300.3</v>
      </c>
      <c r="H706">
        <v>3003</v>
      </c>
    </row>
    <row r="707" spans="1:8" x14ac:dyDescent="0.25">
      <c r="A707">
        <v>1706</v>
      </c>
      <c r="B707" s="1">
        <v>45425</v>
      </c>
      <c r="C707" s="13" t="s">
        <v>17</v>
      </c>
      <c r="D707" s="13" t="s">
        <v>20</v>
      </c>
      <c r="E707" s="13" t="s">
        <v>12</v>
      </c>
      <c r="F707">
        <v>17</v>
      </c>
      <c r="G707">
        <v>1357.84</v>
      </c>
      <c r="H707">
        <v>23083.279999999999</v>
      </c>
    </row>
    <row r="708" spans="1:8" x14ac:dyDescent="0.25">
      <c r="A708">
        <v>1707</v>
      </c>
      <c r="B708" s="1">
        <v>45425</v>
      </c>
      <c r="C708" s="13" t="s">
        <v>17</v>
      </c>
      <c r="D708" s="13" t="s">
        <v>15</v>
      </c>
      <c r="E708" s="13" t="s">
        <v>16</v>
      </c>
      <c r="F708">
        <v>18</v>
      </c>
      <c r="G708">
        <v>309.39</v>
      </c>
      <c r="H708">
        <v>5569.02</v>
      </c>
    </row>
    <row r="709" spans="1:8" x14ac:dyDescent="0.25">
      <c r="A709">
        <v>1708</v>
      </c>
      <c r="B709" s="1">
        <v>45382</v>
      </c>
      <c r="C709" s="13" t="s">
        <v>13</v>
      </c>
      <c r="D709" s="13" t="s">
        <v>9</v>
      </c>
      <c r="E709" s="13" t="s">
        <v>14</v>
      </c>
      <c r="F709">
        <v>18</v>
      </c>
      <c r="G709">
        <v>643.30999999999995</v>
      </c>
      <c r="H709">
        <v>11579.58</v>
      </c>
    </row>
    <row r="710" spans="1:8" x14ac:dyDescent="0.25">
      <c r="A710">
        <v>1709</v>
      </c>
      <c r="B710" s="1">
        <v>45344</v>
      </c>
      <c r="C710" s="13" t="s">
        <v>8</v>
      </c>
      <c r="D710" s="13" t="s">
        <v>9</v>
      </c>
      <c r="E710" s="13" t="s">
        <v>21</v>
      </c>
      <c r="F710">
        <v>6</v>
      </c>
      <c r="G710">
        <v>942.03</v>
      </c>
      <c r="H710">
        <v>5652.18</v>
      </c>
    </row>
    <row r="711" spans="1:8" x14ac:dyDescent="0.25">
      <c r="A711">
        <v>1710</v>
      </c>
      <c r="B711" s="1">
        <v>45648</v>
      </c>
      <c r="C711" s="13" t="s">
        <v>17</v>
      </c>
      <c r="D711" s="13" t="s">
        <v>9</v>
      </c>
      <c r="E711" s="13" t="s">
        <v>12</v>
      </c>
      <c r="F711">
        <v>12</v>
      </c>
      <c r="G711">
        <v>1495.34</v>
      </c>
      <c r="H711">
        <v>17944.080000000002</v>
      </c>
    </row>
    <row r="712" spans="1:8" x14ac:dyDescent="0.25">
      <c r="A712">
        <v>1711</v>
      </c>
      <c r="B712" s="1">
        <v>45445</v>
      </c>
      <c r="C712" s="13" t="s">
        <v>19</v>
      </c>
      <c r="D712" s="13" t="s">
        <v>15</v>
      </c>
      <c r="E712" s="13" t="s">
        <v>21</v>
      </c>
      <c r="F712">
        <v>7</v>
      </c>
      <c r="G712">
        <v>637.01</v>
      </c>
      <c r="H712">
        <v>4459.07</v>
      </c>
    </row>
    <row r="713" spans="1:8" x14ac:dyDescent="0.25">
      <c r="A713">
        <v>1712</v>
      </c>
      <c r="B713" s="1">
        <v>45322</v>
      </c>
      <c r="C713" s="13" t="s">
        <v>8</v>
      </c>
      <c r="D713" s="13" t="s">
        <v>9</v>
      </c>
      <c r="E713" s="13" t="s">
        <v>16</v>
      </c>
      <c r="F713">
        <v>10</v>
      </c>
      <c r="G713">
        <v>1312.5</v>
      </c>
      <c r="H713">
        <v>13125</v>
      </c>
    </row>
    <row r="714" spans="1:8" x14ac:dyDescent="0.25">
      <c r="A714">
        <v>1713</v>
      </c>
      <c r="B714" s="1">
        <v>45628</v>
      </c>
      <c r="C714" s="13" t="s">
        <v>11</v>
      </c>
      <c r="D714" s="13" t="s">
        <v>15</v>
      </c>
      <c r="E714" s="13" t="s">
        <v>12</v>
      </c>
      <c r="F714">
        <v>19</v>
      </c>
      <c r="G714">
        <v>1090.3800000000001</v>
      </c>
      <c r="H714">
        <v>20717.22</v>
      </c>
    </row>
    <row r="715" spans="1:8" x14ac:dyDescent="0.25">
      <c r="A715">
        <v>1714</v>
      </c>
      <c r="B715" s="1">
        <v>45353</v>
      </c>
      <c r="C715" s="13" t="s">
        <v>13</v>
      </c>
      <c r="D715" s="13" t="s">
        <v>15</v>
      </c>
      <c r="E715" s="13" t="s">
        <v>16</v>
      </c>
      <c r="F715">
        <v>1</v>
      </c>
      <c r="G715">
        <v>834.48</v>
      </c>
      <c r="H715">
        <v>834.48</v>
      </c>
    </row>
    <row r="716" spans="1:8" x14ac:dyDescent="0.25">
      <c r="A716">
        <v>1715</v>
      </c>
      <c r="B716" s="1">
        <v>45449</v>
      </c>
      <c r="C716" s="13" t="s">
        <v>17</v>
      </c>
      <c r="D716" s="13" t="s">
        <v>20</v>
      </c>
      <c r="E716" s="13" t="s">
        <v>21</v>
      </c>
      <c r="F716">
        <v>1</v>
      </c>
      <c r="G716">
        <v>1192.32</v>
      </c>
      <c r="H716">
        <v>1192.32</v>
      </c>
    </row>
    <row r="717" spans="1:8" x14ac:dyDescent="0.25">
      <c r="A717">
        <v>1716</v>
      </c>
      <c r="B717" s="1">
        <v>45474</v>
      </c>
      <c r="C717" s="13" t="s">
        <v>19</v>
      </c>
      <c r="D717" s="13" t="s">
        <v>20</v>
      </c>
      <c r="E717" s="13" t="s">
        <v>12</v>
      </c>
      <c r="F717">
        <v>3</v>
      </c>
      <c r="G717">
        <v>1154.8900000000001</v>
      </c>
      <c r="H717">
        <v>3464.67</v>
      </c>
    </row>
    <row r="718" spans="1:8" x14ac:dyDescent="0.25">
      <c r="A718">
        <v>1717</v>
      </c>
      <c r="B718" s="1">
        <v>45484</v>
      </c>
      <c r="C718" s="13" t="s">
        <v>8</v>
      </c>
      <c r="D718" s="13" t="s">
        <v>15</v>
      </c>
      <c r="E718" s="13" t="s">
        <v>12</v>
      </c>
      <c r="F718">
        <v>11</v>
      </c>
      <c r="G718">
        <v>993.41</v>
      </c>
      <c r="H718">
        <v>10927.51</v>
      </c>
    </row>
    <row r="719" spans="1:8" x14ac:dyDescent="0.25">
      <c r="A719">
        <v>1718</v>
      </c>
      <c r="B719" s="1">
        <v>45554</v>
      </c>
      <c r="C719" s="13" t="s">
        <v>11</v>
      </c>
      <c r="D719" s="13" t="s">
        <v>20</v>
      </c>
      <c r="E719" s="13" t="s">
        <v>16</v>
      </c>
      <c r="F719">
        <v>1</v>
      </c>
      <c r="G719">
        <v>713.14</v>
      </c>
      <c r="H719">
        <v>713.14</v>
      </c>
    </row>
    <row r="720" spans="1:8" x14ac:dyDescent="0.25">
      <c r="A720">
        <v>1719</v>
      </c>
      <c r="B720" s="1">
        <v>45464</v>
      </c>
      <c r="C720" s="13" t="s">
        <v>19</v>
      </c>
      <c r="D720" s="13" t="s">
        <v>9</v>
      </c>
      <c r="E720" s="13" t="s">
        <v>12</v>
      </c>
      <c r="F720">
        <v>9</v>
      </c>
      <c r="G720">
        <v>906.92</v>
      </c>
      <c r="H720">
        <v>8162.28</v>
      </c>
    </row>
    <row r="721" spans="1:8" x14ac:dyDescent="0.25">
      <c r="A721">
        <v>1720</v>
      </c>
      <c r="B721" s="1">
        <v>45629</v>
      </c>
      <c r="C721" s="13" t="s">
        <v>19</v>
      </c>
      <c r="D721" s="13" t="s">
        <v>9</v>
      </c>
      <c r="E721" s="13" t="s">
        <v>21</v>
      </c>
      <c r="F721">
        <v>17</v>
      </c>
      <c r="G721">
        <v>341.43</v>
      </c>
      <c r="H721">
        <v>5804.31</v>
      </c>
    </row>
    <row r="722" spans="1:8" x14ac:dyDescent="0.25">
      <c r="A722">
        <v>1721</v>
      </c>
      <c r="B722" s="1">
        <v>45490</v>
      </c>
      <c r="C722" s="13" t="s">
        <v>19</v>
      </c>
      <c r="D722" s="13" t="s">
        <v>18</v>
      </c>
      <c r="E722" s="13" t="s">
        <v>14</v>
      </c>
      <c r="F722">
        <v>11</v>
      </c>
      <c r="G722">
        <v>1476.64</v>
      </c>
      <c r="H722">
        <v>16243.04</v>
      </c>
    </row>
    <row r="723" spans="1:8" x14ac:dyDescent="0.25">
      <c r="A723">
        <v>1722</v>
      </c>
      <c r="B723" s="1">
        <v>45496</v>
      </c>
      <c r="C723" s="13" t="s">
        <v>11</v>
      </c>
      <c r="D723" s="13" t="s">
        <v>20</v>
      </c>
      <c r="E723" s="13" t="s">
        <v>14</v>
      </c>
      <c r="F723">
        <v>1</v>
      </c>
      <c r="G723">
        <v>622.26</v>
      </c>
      <c r="H723">
        <v>622.26</v>
      </c>
    </row>
    <row r="724" spans="1:8" x14ac:dyDescent="0.25">
      <c r="A724">
        <v>1723</v>
      </c>
      <c r="B724" s="1">
        <v>45561</v>
      </c>
      <c r="C724" s="13" t="s">
        <v>13</v>
      </c>
      <c r="D724" s="13" t="s">
        <v>9</v>
      </c>
      <c r="E724" s="13" t="s">
        <v>21</v>
      </c>
      <c r="F724">
        <v>5</v>
      </c>
      <c r="G724">
        <v>528.71</v>
      </c>
      <c r="H724">
        <v>2643.55</v>
      </c>
    </row>
    <row r="725" spans="1:8" x14ac:dyDescent="0.25">
      <c r="A725">
        <v>1724</v>
      </c>
      <c r="B725" s="1">
        <v>45308</v>
      </c>
      <c r="C725" s="13" t="s">
        <v>13</v>
      </c>
      <c r="D725" s="13" t="s">
        <v>20</v>
      </c>
      <c r="E725" s="13" t="s">
        <v>10</v>
      </c>
      <c r="F725">
        <v>17</v>
      </c>
      <c r="G725">
        <v>1142.46</v>
      </c>
      <c r="H725">
        <v>19421.82</v>
      </c>
    </row>
    <row r="726" spans="1:8" x14ac:dyDescent="0.25">
      <c r="A726">
        <v>1725</v>
      </c>
      <c r="B726" s="1">
        <v>45421</v>
      </c>
      <c r="C726" s="13" t="s">
        <v>11</v>
      </c>
      <c r="D726" s="13" t="s">
        <v>18</v>
      </c>
      <c r="E726" s="13" t="s">
        <v>14</v>
      </c>
      <c r="F726">
        <v>14</v>
      </c>
      <c r="G726">
        <v>1213.5</v>
      </c>
      <c r="H726">
        <v>16989</v>
      </c>
    </row>
    <row r="727" spans="1:8" x14ac:dyDescent="0.25">
      <c r="A727">
        <v>1726</v>
      </c>
      <c r="B727" s="1">
        <v>45595</v>
      </c>
      <c r="C727" s="13" t="s">
        <v>17</v>
      </c>
      <c r="D727" s="13" t="s">
        <v>20</v>
      </c>
      <c r="E727" s="13" t="s">
        <v>12</v>
      </c>
      <c r="F727">
        <v>12</v>
      </c>
      <c r="G727">
        <v>360.56</v>
      </c>
      <c r="H727">
        <v>4326.72</v>
      </c>
    </row>
    <row r="728" spans="1:8" x14ac:dyDescent="0.25">
      <c r="A728">
        <v>1727</v>
      </c>
      <c r="B728" s="1">
        <v>45414</v>
      </c>
      <c r="C728" s="13" t="s">
        <v>11</v>
      </c>
      <c r="D728" s="13" t="s">
        <v>9</v>
      </c>
      <c r="E728" s="13" t="s">
        <v>21</v>
      </c>
      <c r="F728">
        <v>5</v>
      </c>
      <c r="G728">
        <v>1491.04</v>
      </c>
      <c r="H728">
        <v>7455.2</v>
      </c>
    </row>
    <row r="729" spans="1:8" x14ac:dyDescent="0.25">
      <c r="A729">
        <v>1728</v>
      </c>
      <c r="B729" s="1">
        <v>45403</v>
      </c>
      <c r="C729" s="13" t="s">
        <v>13</v>
      </c>
      <c r="D729" s="13" t="s">
        <v>9</v>
      </c>
      <c r="E729" s="13" t="s">
        <v>14</v>
      </c>
      <c r="F729">
        <v>9</v>
      </c>
      <c r="G729">
        <v>724.92</v>
      </c>
      <c r="H729">
        <v>6524.28</v>
      </c>
    </row>
    <row r="730" spans="1:8" x14ac:dyDescent="0.25">
      <c r="A730">
        <v>1729</v>
      </c>
      <c r="B730" s="1">
        <v>45360</v>
      </c>
      <c r="C730" s="13" t="s">
        <v>8</v>
      </c>
      <c r="D730" s="13" t="s">
        <v>18</v>
      </c>
      <c r="E730" s="13" t="s">
        <v>10</v>
      </c>
      <c r="F730">
        <v>14</v>
      </c>
      <c r="G730">
        <v>574.76</v>
      </c>
      <c r="H730">
        <v>8046.6399999999994</v>
      </c>
    </row>
    <row r="731" spans="1:8" x14ac:dyDescent="0.25">
      <c r="A731">
        <v>1730</v>
      </c>
      <c r="B731" s="1">
        <v>45534</v>
      </c>
      <c r="C731" s="13" t="s">
        <v>13</v>
      </c>
      <c r="D731" s="13" t="s">
        <v>18</v>
      </c>
      <c r="E731" s="13" t="s">
        <v>12</v>
      </c>
      <c r="F731">
        <v>7</v>
      </c>
      <c r="G731">
        <v>209.05</v>
      </c>
      <c r="H731">
        <v>1463.35</v>
      </c>
    </row>
    <row r="732" spans="1:8" x14ac:dyDescent="0.25">
      <c r="A732">
        <v>1731</v>
      </c>
      <c r="B732" s="1">
        <v>45431</v>
      </c>
      <c r="C732" s="13" t="s">
        <v>19</v>
      </c>
      <c r="D732" s="13" t="s">
        <v>15</v>
      </c>
      <c r="E732" s="13" t="s">
        <v>14</v>
      </c>
      <c r="F732">
        <v>13</v>
      </c>
      <c r="G732">
        <v>1323.98</v>
      </c>
      <c r="H732">
        <v>17211.740000000002</v>
      </c>
    </row>
    <row r="733" spans="1:8" x14ac:dyDescent="0.25">
      <c r="A733">
        <v>1732</v>
      </c>
      <c r="B733" s="1">
        <v>45526</v>
      </c>
      <c r="C733" s="13" t="s">
        <v>11</v>
      </c>
      <c r="D733" s="13" t="s">
        <v>9</v>
      </c>
      <c r="E733" s="13" t="s">
        <v>10</v>
      </c>
      <c r="F733">
        <v>13</v>
      </c>
      <c r="G733">
        <v>891.14</v>
      </c>
      <c r="H733">
        <v>11584.82</v>
      </c>
    </row>
    <row r="734" spans="1:8" x14ac:dyDescent="0.25">
      <c r="A734">
        <v>1733</v>
      </c>
      <c r="B734" s="1">
        <v>45479</v>
      </c>
      <c r="C734" s="13" t="s">
        <v>13</v>
      </c>
      <c r="D734" s="13" t="s">
        <v>18</v>
      </c>
      <c r="E734" s="13" t="s">
        <v>14</v>
      </c>
      <c r="F734">
        <v>15</v>
      </c>
      <c r="G734">
        <v>933.49</v>
      </c>
      <c r="H734">
        <v>14002.35</v>
      </c>
    </row>
    <row r="735" spans="1:8" x14ac:dyDescent="0.25">
      <c r="A735">
        <v>1734</v>
      </c>
      <c r="B735" s="1">
        <v>45537</v>
      </c>
      <c r="C735" s="13" t="s">
        <v>8</v>
      </c>
      <c r="D735" s="13" t="s">
        <v>9</v>
      </c>
      <c r="E735" s="13" t="s">
        <v>16</v>
      </c>
      <c r="F735">
        <v>13</v>
      </c>
      <c r="G735">
        <v>754.69</v>
      </c>
      <c r="H735">
        <v>9810.9700000000012</v>
      </c>
    </row>
    <row r="736" spans="1:8" x14ac:dyDescent="0.25">
      <c r="A736">
        <v>1735</v>
      </c>
      <c r="B736" s="1">
        <v>45388</v>
      </c>
      <c r="C736" s="13" t="s">
        <v>17</v>
      </c>
      <c r="D736" s="13" t="s">
        <v>18</v>
      </c>
      <c r="E736" s="13" t="s">
        <v>10</v>
      </c>
      <c r="F736">
        <v>17</v>
      </c>
      <c r="G736">
        <v>62.67</v>
      </c>
      <c r="H736">
        <v>1065.3900000000001</v>
      </c>
    </row>
    <row r="737" spans="1:8" x14ac:dyDescent="0.25">
      <c r="A737">
        <v>1736</v>
      </c>
      <c r="B737" s="1">
        <v>45341</v>
      </c>
      <c r="C737" s="13" t="s">
        <v>8</v>
      </c>
      <c r="D737" s="13" t="s">
        <v>20</v>
      </c>
      <c r="E737" s="13" t="s">
        <v>10</v>
      </c>
      <c r="F737">
        <v>3</v>
      </c>
      <c r="G737">
        <v>1434.67</v>
      </c>
      <c r="H737">
        <v>4304.01</v>
      </c>
    </row>
    <row r="738" spans="1:8" x14ac:dyDescent="0.25">
      <c r="A738">
        <v>1737</v>
      </c>
      <c r="B738" s="1">
        <v>45490</v>
      </c>
      <c r="C738" s="13" t="s">
        <v>19</v>
      </c>
      <c r="D738" s="13" t="s">
        <v>9</v>
      </c>
      <c r="E738" s="13" t="s">
        <v>21</v>
      </c>
      <c r="F738">
        <v>17</v>
      </c>
      <c r="G738">
        <v>171.44</v>
      </c>
      <c r="H738">
        <v>2914.48</v>
      </c>
    </row>
    <row r="739" spans="1:8" x14ac:dyDescent="0.25">
      <c r="A739">
        <v>1738</v>
      </c>
      <c r="B739" s="1">
        <v>45655</v>
      </c>
      <c r="C739" s="13" t="s">
        <v>19</v>
      </c>
      <c r="D739" s="13" t="s">
        <v>15</v>
      </c>
      <c r="E739" s="13" t="s">
        <v>14</v>
      </c>
      <c r="F739">
        <v>16</v>
      </c>
      <c r="G739">
        <v>647.99</v>
      </c>
      <c r="H739">
        <v>10367.84</v>
      </c>
    </row>
    <row r="740" spans="1:8" x14ac:dyDescent="0.25">
      <c r="A740">
        <v>1739</v>
      </c>
      <c r="B740" s="1">
        <v>45315</v>
      </c>
      <c r="C740" s="13" t="s">
        <v>11</v>
      </c>
      <c r="D740" s="13" t="s">
        <v>20</v>
      </c>
      <c r="E740" s="13" t="s">
        <v>12</v>
      </c>
      <c r="F740">
        <v>4</v>
      </c>
      <c r="G740">
        <v>127.26</v>
      </c>
      <c r="H740">
        <v>509.04</v>
      </c>
    </row>
    <row r="741" spans="1:8" x14ac:dyDescent="0.25">
      <c r="A741">
        <v>1740</v>
      </c>
      <c r="B741" s="1">
        <v>45596</v>
      </c>
      <c r="C741" s="13" t="s">
        <v>13</v>
      </c>
      <c r="D741" s="13" t="s">
        <v>20</v>
      </c>
      <c r="E741" s="13" t="s">
        <v>16</v>
      </c>
      <c r="F741">
        <v>17</v>
      </c>
      <c r="G741">
        <v>1199.01</v>
      </c>
      <c r="H741">
        <v>20383.169999999998</v>
      </c>
    </row>
    <row r="742" spans="1:8" x14ac:dyDescent="0.25">
      <c r="A742">
        <v>1741</v>
      </c>
      <c r="B742" s="1">
        <v>45469</v>
      </c>
      <c r="C742" s="13" t="s">
        <v>17</v>
      </c>
      <c r="D742" s="13" t="s">
        <v>20</v>
      </c>
      <c r="E742" s="13" t="s">
        <v>14</v>
      </c>
      <c r="F742">
        <v>13</v>
      </c>
      <c r="G742">
        <v>1119.6400000000001</v>
      </c>
      <c r="H742">
        <v>14555.32</v>
      </c>
    </row>
    <row r="743" spans="1:8" x14ac:dyDescent="0.25">
      <c r="A743">
        <v>1742</v>
      </c>
      <c r="B743" s="1">
        <v>45645</v>
      </c>
      <c r="C743" s="13" t="s">
        <v>19</v>
      </c>
      <c r="D743" s="13" t="s">
        <v>9</v>
      </c>
      <c r="E743" s="13" t="s">
        <v>10</v>
      </c>
      <c r="F743">
        <v>9</v>
      </c>
      <c r="G743">
        <v>580.49</v>
      </c>
      <c r="H743">
        <v>5224.41</v>
      </c>
    </row>
    <row r="744" spans="1:8" x14ac:dyDescent="0.25">
      <c r="A744">
        <v>1743</v>
      </c>
      <c r="B744" s="1">
        <v>45640</v>
      </c>
      <c r="C744" s="13" t="s">
        <v>13</v>
      </c>
      <c r="D744" s="13" t="s">
        <v>15</v>
      </c>
      <c r="E744" s="13" t="s">
        <v>14</v>
      </c>
      <c r="F744">
        <v>8</v>
      </c>
      <c r="G744">
        <v>1135.57</v>
      </c>
      <c r="H744">
        <v>9084.56</v>
      </c>
    </row>
    <row r="745" spans="1:8" x14ac:dyDescent="0.25">
      <c r="A745">
        <v>1744</v>
      </c>
      <c r="B745" s="1">
        <v>45334</v>
      </c>
      <c r="C745" s="13" t="s">
        <v>17</v>
      </c>
      <c r="D745" s="13" t="s">
        <v>15</v>
      </c>
      <c r="E745" s="13" t="s">
        <v>21</v>
      </c>
      <c r="F745">
        <v>14</v>
      </c>
      <c r="G745">
        <v>235.42</v>
      </c>
      <c r="H745">
        <v>3295.88</v>
      </c>
    </row>
    <row r="746" spans="1:8" x14ac:dyDescent="0.25">
      <c r="A746">
        <v>1745</v>
      </c>
      <c r="B746" s="1">
        <v>45418</v>
      </c>
      <c r="C746" s="13" t="s">
        <v>11</v>
      </c>
      <c r="D746" s="13" t="s">
        <v>9</v>
      </c>
      <c r="E746" s="13" t="s">
        <v>16</v>
      </c>
      <c r="F746">
        <v>7</v>
      </c>
      <c r="G746">
        <v>1335.36</v>
      </c>
      <c r="H746">
        <v>9347.5199999999986</v>
      </c>
    </row>
    <row r="747" spans="1:8" x14ac:dyDescent="0.25">
      <c r="A747">
        <v>1746</v>
      </c>
      <c r="B747" s="1">
        <v>45490</v>
      </c>
      <c r="C747" s="13" t="s">
        <v>17</v>
      </c>
      <c r="D747" s="13" t="s">
        <v>18</v>
      </c>
      <c r="E747" s="13" t="s">
        <v>10</v>
      </c>
      <c r="F747">
        <v>14</v>
      </c>
      <c r="G747">
        <v>161.97</v>
      </c>
      <c r="H747">
        <v>2267.58</v>
      </c>
    </row>
    <row r="748" spans="1:8" x14ac:dyDescent="0.25">
      <c r="A748">
        <v>1747</v>
      </c>
      <c r="B748" s="1">
        <v>45450</v>
      </c>
      <c r="C748" s="13" t="s">
        <v>19</v>
      </c>
      <c r="D748" s="13" t="s">
        <v>20</v>
      </c>
      <c r="E748" s="13" t="s">
        <v>12</v>
      </c>
      <c r="F748">
        <v>7</v>
      </c>
      <c r="G748">
        <v>744.95</v>
      </c>
      <c r="H748">
        <v>5214.6500000000005</v>
      </c>
    </row>
    <row r="749" spans="1:8" x14ac:dyDescent="0.25">
      <c r="A749">
        <v>1748</v>
      </c>
      <c r="B749" s="1">
        <v>45548</v>
      </c>
      <c r="C749" s="13" t="s">
        <v>11</v>
      </c>
      <c r="D749" s="13" t="s">
        <v>18</v>
      </c>
      <c r="E749" s="13" t="s">
        <v>16</v>
      </c>
      <c r="F749">
        <v>1</v>
      </c>
      <c r="G749">
        <v>317.74</v>
      </c>
      <c r="H749">
        <v>317.74</v>
      </c>
    </row>
    <row r="750" spans="1:8" x14ac:dyDescent="0.25">
      <c r="A750">
        <v>1749</v>
      </c>
      <c r="B750" s="1">
        <v>45555</v>
      </c>
      <c r="C750" s="13" t="s">
        <v>11</v>
      </c>
      <c r="D750" s="13" t="s">
        <v>20</v>
      </c>
      <c r="E750" s="13" t="s">
        <v>16</v>
      </c>
      <c r="F750">
        <v>9</v>
      </c>
      <c r="G750">
        <v>427.68</v>
      </c>
      <c r="H750">
        <v>3849.12</v>
      </c>
    </row>
    <row r="751" spans="1:8" x14ac:dyDescent="0.25">
      <c r="A751">
        <v>1750</v>
      </c>
      <c r="B751" s="1">
        <v>45532</v>
      </c>
      <c r="C751" s="13" t="s">
        <v>17</v>
      </c>
      <c r="D751" s="13" t="s">
        <v>20</v>
      </c>
      <c r="E751" s="13" t="s">
        <v>12</v>
      </c>
      <c r="F751">
        <v>12</v>
      </c>
      <c r="G751">
        <v>135.5</v>
      </c>
      <c r="H751">
        <v>1626</v>
      </c>
    </row>
    <row r="752" spans="1:8" x14ac:dyDescent="0.25">
      <c r="A752">
        <v>1751</v>
      </c>
      <c r="B752" s="1">
        <v>45295</v>
      </c>
      <c r="C752" s="13" t="s">
        <v>17</v>
      </c>
      <c r="D752" s="13" t="s">
        <v>15</v>
      </c>
      <c r="E752" s="13" t="s">
        <v>14</v>
      </c>
      <c r="F752">
        <v>3</v>
      </c>
      <c r="G752">
        <v>95.76</v>
      </c>
      <c r="H752">
        <v>287.27999999999997</v>
      </c>
    </row>
    <row r="753" spans="1:8" x14ac:dyDescent="0.25">
      <c r="A753">
        <v>1752</v>
      </c>
      <c r="B753" s="1">
        <v>45303</v>
      </c>
      <c r="C753" s="13" t="s">
        <v>13</v>
      </c>
      <c r="D753" s="13" t="s">
        <v>15</v>
      </c>
      <c r="E753" s="13" t="s">
        <v>21</v>
      </c>
      <c r="F753">
        <v>17</v>
      </c>
      <c r="G753">
        <v>823.91</v>
      </c>
      <c r="H753">
        <v>14006.47</v>
      </c>
    </row>
    <row r="754" spans="1:8" x14ac:dyDescent="0.25">
      <c r="A754">
        <v>1753</v>
      </c>
      <c r="B754" s="1">
        <v>45636</v>
      </c>
      <c r="C754" s="13" t="s">
        <v>8</v>
      </c>
      <c r="D754" s="13" t="s">
        <v>9</v>
      </c>
      <c r="E754" s="13" t="s">
        <v>14</v>
      </c>
      <c r="F754">
        <v>14</v>
      </c>
      <c r="G754">
        <v>862.93</v>
      </c>
      <c r="H754">
        <v>12081.02</v>
      </c>
    </row>
    <row r="755" spans="1:8" x14ac:dyDescent="0.25">
      <c r="A755">
        <v>1754</v>
      </c>
      <c r="B755" s="1">
        <v>45354</v>
      </c>
      <c r="C755" s="13" t="s">
        <v>11</v>
      </c>
      <c r="D755" s="13" t="s">
        <v>15</v>
      </c>
      <c r="E755" s="13" t="s">
        <v>16</v>
      </c>
      <c r="F755">
        <v>3</v>
      </c>
      <c r="G755">
        <v>242.79</v>
      </c>
      <c r="H755">
        <v>728.37</v>
      </c>
    </row>
    <row r="756" spans="1:8" x14ac:dyDescent="0.25">
      <c r="A756">
        <v>1755</v>
      </c>
      <c r="B756" s="1">
        <v>45459</v>
      </c>
      <c r="C756" s="13" t="s">
        <v>19</v>
      </c>
      <c r="D756" s="13" t="s">
        <v>18</v>
      </c>
      <c r="E756" s="13" t="s">
        <v>12</v>
      </c>
      <c r="F756">
        <v>19</v>
      </c>
      <c r="G756">
        <v>1469.06</v>
      </c>
      <c r="H756">
        <v>27912.14</v>
      </c>
    </row>
    <row r="757" spans="1:8" x14ac:dyDescent="0.25">
      <c r="A757">
        <v>1756</v>
      </c>
      <c r="B757" s="1">
        <v>45606</v>
      </c>
      <c r="C757" s="13" t="s">
        <v>19</v>
      </c>
      <c r="D757" s="13" t="s">
        <v>20</v>
      </c>
      <c r="E757" s="13" t="s">
        <v>21</v>
      </c>
      <c r="F757">
        <v>2</v>
      </c>
      <c r="G757">
        <v>430.57</v>
      </c>
      <c r="H757">
        <v>861.14</v>
      </c>
    </row>
    <row r="758" spans="1:8" x14ac:dyDescent="0.25">
      <c r="A758">
        <v>1757</v>
      </c>
      <c r="B758" s="1">
        <v>45350</v>
      </c>
      <c r="C758" s="13" t="s">
        <v>8</v>
      </c>
      <c r="D758" s="13" t="s">
        <v>20</v>
      </c>
      <c r="E758" s="13" t="s">
        <v>21</v>
      </c>
      <c r="F758">
        <v>7</v>
      </c>
      <c r="G758">
        <v>1081.68</v>
      </c>
      <c r="H758">
        <v>7571.76</v>
      </c>
    </row>
    <row r="759" spans="1:8" x14ac:dyDescent="0.25">
      <c r="A759">
        <v>1758</v>
      </c>
      <c r="B759" s="1">
        <v>45570</v>
      </c>
      <c r="C759" s="13" t="s">
        <v>19</v>
      </c>
      <c r="D759" s="13" t="s">
        <v>20</v>
      </c>
      <c r="E759" s="13" t="s">
        <v>16</v>
      </c>
      <c r="F759">
        <v>9</v>
      </c>
      <c r="G759">
        <v>1201.3699999999999</v>
      </c>
      <c r="H759">
        <v>10812.33</v>
      </c>
    </row>
    <row r="760" spans="1:8" x14ac:dyDescent="0.25">
      <c r="A760">
        <v>1759</v>
      </c>
      <c r="B760" s="1">
        <v>45405</v>
      </c>
      <c r="C760" s="13" t="s">
        <v>8</v>
      </c>
      <c r="D760" s="13" t="s">
        <v>20</v>
      </c>
      <c r="E760" s="13" t="s">
        <v>14</v>
      </c>
      <c r="F760">
        <v>4</v>
      </c>
      <c r="G760">
        <v>1380.57</v>
      </c>
      <c r="H760">
        <v>5522.28</v>
      </c>
    </row>
    <row r="761" spans="1:8" x14ac:dyDescent="0.25">
      <c r="A761">
        <v>1760</v>
      </c>
      <c r="B761" s="1">
        <v>45560</v>
      </c>
      <c r="C761" s="13" t="s">
        <v>17</v>
      </c>
      <c r="D761" s="13" t="s">
        <v>15</v>
      </c>
      <c r="E761" s="13" t="s">
        <v>10</v>
      </c>
      <c r="F761">
        <v>13</v>
      </c>
      <c r="G761">
        <v>1227.45</v>
      </c>
      <c r="H761">
        <v>15956.85</v>
      </c>
    </row>
    <row r="762" spans="1:8" x14ac:dyDescent="0.25">
      <c r="A762">
        <v>1761</v>
      </c>
      <c r="B762" s="1">
        <v>45294</v>
      </c>
      <c r="C762" s="13" t="s">
        <v>11</v>
      </c>
      <c r="D762" s="13" t="s">
        <v>15</v>
      </c>
      <c r="E762" s="13" t="s">
        <v>12</v>
      </c>
      <c r="F762">
        <v>16</v>
      </c>
      <c r="G762">
        <v>846</v>
      </c>
      <c r="H762">
        <v>13536</v>
      </c>
    </row>
    <row r="763" spans="1:8" x14ac:dyDescent="0.25">
      <c r="A763">
        <v>1762</v>
      </c>
      <c r="B763" s="1">
        <v>45451</v>
      </c>
      <c r="C763" s="13" t="s">
        <v>11</v>
      </c>
      <c r="D763" s="13" t="s">
        <v>9</v>
      </c>
      <c r="E763" s="13" t="s">
        <v>16</v>
      </c>
      <c r="F763">
        <v>14</v>
      </c>
      <c r="G763">
        <v>73.069999999999993</v>
      </c>
      <c r="H763">
        <v>1022.98</v>
      </c>
    </row>
    <row r="764" spans="1:8" x14ac:dyDescent="0.25">
      <c r="A764">
        <v>1763</v>
      </c>
      <c r="B764" s="1">
        <v>45492</v>
      </c>
      <c r="C764" s="13" t="s">
        <v>8</v>
      </c>
      <c r="D764" s="13" t="s">
        <v>9</v>
      </c>
      <c r="E764" s="13" t="s">
        <v>16</v>
      </c>
      <c r="F764">
        <v>5</v>
      </c>
      <c r="G764">
        <v>202.04</v>
      </c>
      <c r="H764">
        <v>1010.2</v>
      </c>
    </row>
    <row r="765" spans="1:8" x14ac:dyDescent="0.25">
      <c r="A765">
        <v>1764</v>
      </c>
      <c r="B765" s="1">
        <v>45520</v>
      </c>
      <c r="C765" s="13" t="s">
        <v>19</v>
      </c>
      <c r="D765" s="13" t="s">
        <v>20</v>
      </c>
      <c r="E765" s="13" t="s">
        <v>16</v>
      </c>
      <c r="F765">
        <v>5</v>
      </c>
      <c r="G765">
        <v>658.85</v>
      </c>
      <c r="H765">
        <v>3294.25</v>
      </c>
    </row>
    <row r="766" spans="1:8" x14ac:dyDescent="0.25">
      <c r="A766">
        <v>1765</v>
      </c>
      <c r="B766" s="1">
        <v>45308</v>
      </c>
      <c r="C766" s="13" t="s">
        <v>8</v>
      </c>
      <c r="D766" s="13" t="s">
        <v>15</v>
      </c>
      <c r="E766" s="13" t="s">
        <v>16</v>
      </c>
      <c r="F766">
        <v>19</v>
      </c>
      <c r="G766">
        <v>1053.1199999999999</v>
      </c>
      <c r="H766">
        <v>20009.28</v>
      </c>
    </row>
    <row r="767" spans="1:8" x14ac:dyDescent="0.25">
      <c r="A767">
        <v>1766</v>
      </c>
      <c r="B767" s="1">
        <v>45520</v>
      </c>
      <c r="C767" s="13" t="s">
        <v>17</v>
      </c>
      <c r="D767" s="13" t="s">
        <v>9</v>
      </c>
      <c r="E767" s="13" t="s">
        <v>21</v>
      </c>
      <c r="F767">
        <v>14</v>
      </c>
      <c r="G767">
        <v>1374.75</v>
      </c>
      <c r="H767">
        <v>19246.5</v>
      </c>
    </row>
    <row r="768" spans="1:8" x14ac:dyDescent="0.25">
      <c r="A768">
        <v>1767</v>
      </c>
      <c r="B768" s="1">
        <v>45339</v>
      </c>
      <c r="C768" s="13" t="s">
        <v>19</v>
      </c>
      <c r="D768" s="13" t="s">
        <v>9</v>
      </c>
      <c r="E768" s="13" t="s">
        <v>12</v>
      </c>
      <c r="F768">
        <v>8</v>
      </c>
      <c r="G768">
        <v>1458.78</v>
      </c>
      <c r="H768">
        <v>11670.24</v>
      </c>
    </row>
    <row r="769" spans="1:8" x14ac:dyDescent="0.25">
      <c r="A769">
        <v>1768</v>
      </c>
      <c r="B769" s="1">
        <v>45408</v>
      </c>
      <c r="C769" s="13" t="s">
        <v>17</v>
      </c>
      <c r="D769" s="13" t="s">
        <v>15</v>
      </c>
      <c r="E769" s="13" t="s">
        <v>21</v>
      </c>
      <c r="F769">
        <v>11</v>
      </c>
      <c r="G769">
        <v>966.01</v>
      </c>
      <c r="H769">
        <v>10626.11</v>
      </c>
    </row>
    <row r="770" spans="1:8" x14ac:dyDescent="0.25">
      <c r="A770">
        <v>1769</v>
      </c>
      <c r="B770" s="1">
        <v>45437</v>
      </c>
      <c r="C770" s="13" t="s">
        <v>13</v>
      </c>
      <c r="D770" s="13" t="s">
        <v>15</v>
      </c>
      <c r="E770" s="13" t="s">
        <v>14</v>
      </c>
      <c r="F770">
        <v>16</v>
      </c>
      <c r="G770">
        <v>192.48</v>
      </c>
      <c r="H770">
        <v>3079.68</v>
      </c>
    </row>
    <row r="771" spans="1:8" x14ac:dyDescent="0.25">
      <c r="A771">
        <v>1770</v>
      </c>
      <c r="B771" s="1">
        <v>45482</v>
      </c>
      <c r="C771" s="13" t="s">
        <v>13</v>
      </c>
      <c r="D771" s="13" t="s">
        <v>15</v>
      </c>
      <c r="E771" s="13" t="s">
        <v>21</v>
      </c>
      <c r="F771">
        <v>16</v>
      </c>
      <c r="G771">
        <v>1269.93</v>
      </c>
      <c r="H771">
        <v>20318.88</v>
      </c>
    </row>
    <row r="772" spans="1:8" x14ac:dyDescent="0.25">
      <c r="A772">
        <v>1771</v>
      </c>
      <c r="B772" s="1">
        <v>45637</v>
      </c>
      <c r="C772" s="13" t="s">
        <v>11</v>
      </c>
      <c r="D772" s="13" t="s">
        <v>20</v>
      </c>
      <c r="E772" s="13" t="s">
        <v>21</v>
      </c>
      <c r="F772">
        <v>6</v>
      </c>
      <c r="G772">
        <v>1486.21</v>
      </c>
      <c r="H772">
        <v>8917.26</v>
      </c>
    </row>
    <row r="773" spans="1:8" x14ac:dyDescent="0.25">
      <c r="A773">
        <v>1772</v>
      </c>
      <c r="B773" s="1">
        <v>45553</v>
      </c>
      <c r="C773" s="13" t="s">
        <v>8</v>
      </c>
      <c r="D773" s="13" t="s">
        <v>9</v>
      </c>
      <c r="E773" s="13" t="s">
        <v>12</v>
      </c>
      <c r="F773">
        <v>18</v>
      </c>
      <c r="G773">
        <v>187.6</v>
      </c>
      <c r="H773">
        <v>3376.8</v>
      </c>
    </row>
    <row r="774" spans="1:8" x14ac:dyDescent="0.25">
      <c r="A774">
        <v>1773</v>
      </c>
      <c r="B774" s="1">
        <v>45444</v>
      </c>
      <c r="C774" s="13" t="s">
        <v>19</v>
      </c>
      <c r="D774" s="13" t="s">
        <v>18</v>
      </c>
      <c r="E774" s="13" t="s">
        <v>21</v>
      </c>
      <c r="F774">
        <v>9</v>
      </c>
      <c r="G774">
        <v>1491.04</v>
      </c>
      <c r="H774">
        <v>13419.36</v>
      </c>
    </row>
    <row r="775" spans="1:8" x14ac:dyDescent="0.25">
      <c r="A775">
        <v>1774</v>
      </c>
      <c r="B775" s="1">
        <v>45505</v>
      </c>
      <c r="C775" s="13" t="s">
        <v>19</v>
      </c>
      <c r="D775" s="13" t="s">
        <v>15</v>
      </c>
      <c r="E775" s="13" t="s">
        <v>21</v>
      </c>
      <c r="F775">
        <v>13</v>
      </c>
      <c r="G775">
        <v>298.55</v>
      </c>
      <c r="H775">
        <v>3881.15</v>
      </c>
    </row>
    <row r="776" spans="1:8" x14ac:dyDescent="0.25">
      <c r="A776">
        <v>1775</v>
      </c>
      <c r="B776" s="1">
        <v>45656</v>
      </c>
      <c r="C776" s="13" t="s">
        <v>17</v>
      </c>
      <c r="D776" s="13" t="s">
        <v>9</v>
      </c>
      <c r="E776" s="13" t="s">
        <v>14</v>
      </c>
      <c r="F776">
        <v>8</v>
      </c>
      <c r="G776">
        <v>1024.48</v>
      </c>
      <c r="H776">
        <v>8195.84</v>
      </c>
    </row>
    <row r="777" spans="1:8" x14ac:dyDescent="0.25">
      <c r="A777">
        <v>1776</v>
      </c>
      <c r="B777" s="1">
        <v>45520</v>
      </c>
      <c r="C777" s="13" t="s">
        <v>8</v>
      </c>
      <c r="D777" s="13" t="s">
        <v>9</v>
      </c>
      <c r="E777" s="13" t="s">
        <v>12</v>
      </c>
      <c r="F777">
        <v>17</v>
      </c>
      <c r="G777">
        <v>443.31</v>
      </c>
      <c r="H777">
        <v>7536.27</v>
      </c>
    </row>
    <row r="778" spans="1:8" x14ac:dyDescent="0.25">
      <c r="A778">
        <v>1777</v>
      </c>
      <c r="B778" s="1">
        <v>45581</v>
      </c>
      <c r="C778" s="13" t="s">
        <v>13</v>
      </c>
      <c r="D778" s="13" t="s">
        <v>20</v>
      </c>
      <c r="E778" s="13" t="s">
        <v>10</v>
      </c>
      <c r="F778">
        <v>8</v>
      </c>
      <c r="G778">
        <v>1404.68</v>
      </c>
      <c r="H778">
        <v>11237.44</v>
      </c>
    </row>
    <row r="779" spans="1:8" x14ac:dyDescent="0.25">
      <c r="A779">
        <v>1778</v>
      </c>
      <c r="B779" s="1">
        <v>45519</v>
      </c>
      <c r="C779" s="13" t="s">
        <v>17</v>
      </c>
      <c r="D779" s="13" t="s">
        <v>15</v>
      </c>
      <c r="E779" s="13" t="s">
        <v>12</v>
      </c>
      <c r="F779">
        <v>16</v>
      </c>
      <c r="G779">
        <v>703.45</v>
      </c>
      <c r="H779">
        <v>11255.2</v>
      </c>
    </row>
    <row r="780" spans="1:8" x14ac:dyDescent="0.25">
      <c r="A780">
        <v>1779</v>
      </c>
      <c r="B780" s="1">
        <v>45476</v>
      </c>
      <c r="C780" s="13" t="s">
        <v>11</v>
      </c>
      <c r="D780" s="13" t="s">
        <v>20</v>
      </c>
      <c r="E780" s="13" t="s">
        <v>16</v>
      </c>
      <c r="F780">
        <v>1</v>
      </c>
      <c r="G780">
        <v>507.84</v>
      </c>
      <c r="H780">
        <v>507.84</v>
      </c>
    </row>
    <row r="781" spans="1:8" x14ac:dyDescent="0.25">
      <c r="A781">
        <v>1780</v>
      </c>
      <c r="B781" s="1">
        <v>45293</v>
      </c>
      <c r="C781" s="13" t="s">
        <v>13</v>
      </c>
      <c r="D781" s="13" t="s">
        <v>15</v>
      </c>
      <c r="E781" s="13" t="s">
        <v>10</v>
      </c>
      <c r="F781">
        <v>17</v>
      </c>
      <c r="G781">
        <v>983.67</v>
      </c>
      <c r="H781">
        <v>16722.39</v>
      </c>
    </row>
    <row r="782" spans="1:8" x14ac:dyDescent="0.25">
      <c r="A782">
        <v>1781</v>
      </c>
      <c r="B782" s="1">
        <v>45316</v>
      </c>
      <c r="C782" s="13" t="s">
        <v>8</v>
      </c>
      <c r="D782" s="13" t="s">
        <v>15</v>
      </c>
      <c r="E782" s="13" t="s">
        <v>16</v>
      </c>
      <c r="F782">
        <v>2</v>
      </c>
      <c r="G782">
        <v>387.9</v>
      </c>
      <c r="H782">
        <v>775.8</v>
      </c>
    </row>
    <row r="783" spans="1:8" x14ac:dyDescent="0.25">
      <c r="A783">
        <v>1782</v>
      </c>
      <c r="B783" s="1">
        <v>45490</v>
      </c>
      <c r="C783" s="13" t="s">
        <v>8</v>
      </c>
      <c r="D783" s="13" t="s">
        <v>20</v>
      </c>
      <c r="E783" s="13" t="s">
        <v>21</v>
      </c>
      <c r="F783">
        <v>15</v>
      </c>
      <c r="G783">
        <v>351.07</v>
      </c>
      <c r="H783">
        <v>5266.05</v>
      </c>
    </row>
    <row r="784" spans="1:8" x14ac:dyDescent="0.25">
      <c r="A784">
        <v>1783</v>
      </c>
      <c r="B784" s="1">
        <v>45554</v>
      </c>
      <c r="C784" s="13" t="s">
        <v>13</v>
      </c>
      <c r="D784" s="13" t="s">
        <v>18</v>
      </c>
      <c r="E784" s="13" t="s">
        <v>10</v>
      </c>
      <c r="F784">
        <v>9</v>
      </c>
      <c r="G784">
        <v>70.19</v>
      </c>
      <c r="H784">
        <v>631.71</v>
      </c>
    </row>
    <row r="785" spans="1:8" x14ac:dyDescent="0.25">
      <c r="A785">
        <v>1784</v>
      </c>
      <c r="B785" s="1">
        <v>45508</v>
      </c>
      <c r="C785" s="13" t="s">
        <v>19</v>
      </c>
      <c r="D785" s="13" t="s">
        <v>9</v>
      </c>
      <c r="E785" s="13" t="s">
        <v>12</v>
      </c>
      <c r="F785">
        <v>9</v>
      </c>
      <c r="G785">
        <v>1242.24</v>
      </c>
      <c r="H785">
        <v>11180.16</v>
      </c>
    </row>
    <row r="786" spans="1:8" x14ac:dyDescent="0.25">
      <c r="A786">
        <v>1785</v>
      </c>
      <c r="B786" s="1">
        <v>45531</v>
      </c>
      <c r="C786" s="13" t="s">
        <v>19</v>
      </c>
      <c r="D786" s="13" t="s">
        <v>20</v>
      </c>
      <c r="E786" s="13" t="s">
        <v>12</v>
      </c>
      <c r="F786">
        <v>8</v>
      </c>
      <c r="G786">
        <v>1038.51</v>
      </c>
      <c r="H786">
        <v>8308.08</v>
      </c>
    </row>
    <row r="787" spans="1:8" x14ac:dyDescent="0.25">
      <c r="A787">
        <v>1786</v>
      </c>
      <c r="B787" s="1">
        <v>45552</v>
      </c>
      <c r="C787" s="13" t="s">
        <v>13</v>
      </c>
      <c r="D787" s="13" t="s">
        <v>9</v>
      </c>
      <c r="E787" s="13" t="s">
        <v>21</v>
      </c>
      <c r="F787">
        <v>3</v>
      </c>
      <c r="G787">
        <v>1100.47</v>
      </c>
      <c r="H787">
        <v>3301.41</v>
      </c>
    </row>
    <row r="788" spans="1:8" x14ac:dyDescent="0.25">
      <c r="A788">
        <v>1787</v>
      </c>
      <c r="B788" s="1">
        <v>45571</v>
      </c>
      <c r="C788" s="13" t="s">
        <v>13</v>
      </c>
      <c r="D788" s="13" t="s">
        <v>15</v>
      </c>
      <c r="E788" s="13" t="s">
        <v>10</v>
      </c>
      <c r="F788">
        <v>1</v>
      </c>
      <c r="G788">
        <v>97.94</v>
      </c>
      <c r="H788">
        <v>97.94</v>
      </c>
    </row>
    <row r="789" spans="1:8" x14ac:dyDescent="0.25">
      <c r="A789">
        <v>1788</v>
      </c>
      <c r="B789" s="1">
        <v>45651</v>
      </c>
      <c r="C789" s="13" t="s">
        <v>19</v>
      </c>
      <c r="D789" s="13" t="s">
        <v>18</v>
      </c>
      <c r="E789" s="13" t="s">
        <v>10</v>
      </c>
      <c r="F789">
        <v>10</v>
      </c>
      <c r="G789">
        <v>1299.67</v>
      </c>
      <c r="H789">
        <v>12996.7</v>
      </c>
    </row>
    <row r="790" spans="1:8" x14ac:dyDescent="0.25">
      <c r="A790">
        <v>1789</v>
      </c>
      <c r="B790" s="1">
        <v>45634</v>
      </c>
      <c r="C790" s="13" t="s">
        <v>19</v>
      </c>
      <c r="D790" s="13" t="s">
        <v>20</v>
      </c>
      <c r="E790" s="13" t="s">
        <v>14</v>
      </c>
      <c r="F790">
        <v>9</v>
      </c>
      <c r="G790">
        <v>749.98</v>
      </c>
      <c r="H790">
        <v>6749.82</v>
      </c>
    </row>
    <row r="791" spans="1:8" x14ac:dyDescent="0.25">
      <c r="A791">
        <v>1790</v>
      </c>
      <c r="B791" s="1">
        <v>45415</v>
      </c>
      <c r="C791" s="13" t="s">
        <v>11</v>
      </c>
      <c r="D791" s="13" t="s">
        <v>15</v>
      </c>
      <c r="E791" s="13" t="s">
        <v>10</v>
      </c>
      <c r="F791">
        <v>13</v>
      </c>
      <c r="G791">
        <v>405.33</v>
      </c>
      <c r="H791">
        <v>5269.29</v>
      </c>
    </row>
    <row r="792" spans="1:8" x14ac:dyDescent="0.25">
      <c r="A792">
        <v>1791</v>
      </c>
      <c r="B792" s="1">
        <v>45514</v>
      </c>
      <c r="C792" s="13" t="s">
        <v>19</v>
      </c>
      <c r="D792" s="13" t="s">
        <v>9</v>
      </c>
      <c r="E792" s="13" t="s">
        <v>12</v>
      </c>
      <c r="F792">
        <v>9</v>
      </c>
      <c r="G792">
        <v>972.62</v>
      </c>
      <c r="H792">
        <v>8753.58</v>
      </c>
    </row>
    <row r="793" spans="1:8" x14ac:dyDescent="0.25">
      <c r="A793">
        <v>1792</v>
      </c>
      <c r="B793" s="1">
        <v>45496</v>
      </c>
      <c r="C793" s="13" t="s">
        <v>11</v>
      </c>
      <c r="D793" s="13" t="s">
        <v>20</v>
      </c>
      <c r="E793" s="13" t="s">
        <v>12</v>
      </c>
      <c r="F793">
        <v>5</v>
      </c>
      <c r="G793">
        <v>842.8</v>
      </c>
      <c r="H793">
        <v>4214</v>
      </c>
    </row>
    <row r="794" spans="1:8" x14ac:dyDescent="0.25">
      <c r="A794">
        <v>1793</v>
      </c>
      <c r="B794" s="1">
        <v>45536</v>
      </c>
      <c r="C794" s="13" t="s">
        <v>17</v>
      </c>
      <c r="D794" s="13" t="s">
        <v>18</v>
      </c>
      <c r="E794" s="13" t="s">
        <v>21</v>
      </c>
      <c r="F794">
        <v>17</v>
      </c>
      <c r="G794">
        <v>374.65</v>
      </c>
      <c r="H794">
        <v>6369.0499999999993</v>
      </c>
    </row>
    <row r="795" spans="1:8" x14ac:dyDescent="0.25">
      <c r="A795">
        <v>1794</v>
      </c>
      <c r="B795" s="1">
        <v>45614</v>
      </c>
      <c r="C795" s="13" t="s">
        <v>19</v>
      </c>
      <c r="D795" s="13" t="s">
        <v>20</v>
      </c>
      <c r="E795" s="13" t="s">
        <v>10</v>
      </c>
      <c r="F795">
        <v>3</v>
      </c>
      <c r="G795">
        <v>1426.75</v>
      </c>
      <c r="H795">
        <v>4280.25</v>
      </c>
    </row>
    <row r="796" spans="1:8" x14ac:dyDescent="0.25">
      <c r="A796">
        <v>1795</v>
      </c>
      <c r="B796" s="1">
        <v>45490</v>
      </c>
      <c r="C796" s="13" t="s">
        <v>17</v>
      </c>
      <c r="D796" s="13" t="s">
        <v>9</v>
      </c>
      <c r="E796" s="13" t="s">
        <v>14</v>
      </c>
      <c r="F796">
        <v>13</v>
      </c>
      <c r="G796">
        <v>420.98</v>
      </c>
      <c r="H796">
        <v>5472.74</v>
      </c>
    </row>
    <row r="797" spans="1:8" x14ac:dyDescent="0.25">
      <c r="A797">
        <v>1796</v>
      </c>
      <c r="B797" s="1">
        <v>45297</v>
      </c>
      <c r="C797" s="13" t="s">
        <v>8</v>
      </c>
      <c r="D797" s="13" t="s">
        <v>9</v>
      </c>
      <c r="E797" s="13" t="s">
        <v>14</v>
      </c>
      <c r="F797">
        <v>3</v>
      </c>
      <c r="G797">
        <v>818.18</v>
      </c>
      <c r="H797">
        <v>2454.54</v>
      </c>
    </row>
    <row r="798" spans="1:8" x14ac:dyDescent="0.25">
      <c r="A798">
        <v>1797</v>
      </c>
      <c r="B798" s="1">
        <v>45519</v>
      </c>
      <c r="C798" s="13" t="s">
        <v>11</v>
      </c>
      <c r="D798" s="13" t="s">
        <v>18</v>
      </c>
      <c r="E798" s="13" t="s">
        <v>12</v>
      </c>
      <c r="F798">
        <v>18</v>
      </c>
      <c r="G798">
        <v>982</v>
      </c>
      <c r="H798">
        <v>17676</v>
      </c>
    </row>
    <row r="799" spans="1:8" x14ac:dyDescent="0.25">
      <c r="A799">
        <v>1798</v>
      </c>
      <c r="B799" s="1">
        <v>45340</v>
      </c>
      <c r="C799" s="13" t="s">
        <v>8</v>
      </c>
      <c r="D799" s="13" t="s">
        <v>15</v>
      </c>
      <c r="E799" s="13" t="s">
        <v>10</v>
      </c>
      <c r="F799">
        <v>14</v>
      </c>
      <c r="G799">
        <v>803.94</v>
      </c>
      <c r="H799">
        <v>11255.16</v>
      </c>
    </row>
    <row r="800" spans="1:8" x14ac:dyDescent="0.25">
      <c r="A800">
        <v>1799</v>
      </c>
      <c r="B800" s="1">
        <v>45454</v>
      </c>
      <c r="C800" s="13" t="s">
        <v>11</v>
      </c>
      <c r="D800" s="13" t="s">
        <v>9</v>
      </c>
      <c r="E800" s="13" t="s">
        <v>14</v>
      </c>
      <c r="F800">
        <v>16</v>
      </c>
      <c r="G800">
        <v>441.12</v>
      </c>
      <c r="H800">
        <v>7057.92</v>
      </c>
    </row>
    <row r="801" spans="1:8" x14ac:dyDescent="0.25">
      <c r="A801">
        <v>1800</v>
      </c>
      <c r="B801" s="1">
        <v>45415</v>
      </c>
      <c r="C801" s="13" t="s">
        <v>11</v>
      </c>
      <c r="D801" s="13" t="s">
        <v>18</v>
      </c>
      <c r="E801" s="13" t="s">
        <v>21</v>
      </c>
      <c r="F801">
        <v>10</v>
      </c>
      <c r="G801">
        <v>1344.51</v>
      </c>
      <c r="H801">
        <v>13445.1</v>
      </c>
    </row>
    <row r="802" spans="1:8" x14ac:dyDescent="0.25">
      <c r="A802">
        <v>1801</v>
      </c>
      <c r="B802" s="1">
        <v>45540</v>
      </c>
      <c r="C802" s="13" t="s">
        <v>17</v>
      </c>
      <c r="D802" s="13" t="s">
        <v>15</v>
      </c>
      <c r="E802" s="13" t="s">
        <v>16</v>
      </c>
      <c r="F802">
        <v>2</v>
      </c>
      <c r="G802">
        <v>981.27</v>
      </c>
      <c r="H802">
        <v>1962.54</v>
      </c>
    </row>
    <row r="803" spans="1:8" x14ac:dyDescent="0.25">
      <c r="A803">
        <v>1802</v>
      </c>
      <c r="B803" s="1">
        <v>45635</v>
      </c>
      <c r="C803" s="13" t="s">
        <v>19</v>
      </c>
      <c r="D803" s="13" t="s">
        <v>20</v>
      </c>
      <c r="E803" s="13" t="s">
        <v>14</v>
      </c>
      <c r="F803">
        <v>16</v>
      </c>
      <c r="G803">
        <v>1435.94</v>
      </c>
      <c r="H803">
        <v>22975.040000000001</v>
      </c>
    </row>
    <row r="804" spans="1:8" x14ac:dyDescent="0.25">
      <c r="A804">
        <v>1803</v>
      </c>
      <c r="B804" s="1">
        <v>45424</v>
      </c>
      <c r="C804" s="13" t="s">
        <v>13</v>
      </c>
      <c r="D804" s="13" t="s">
        <v>20</v>
      </c>
      <c r="E804" s="13" t="s">
        <v>21</v>
      </c>
      <c r="F804">
        <v>8</v>
      </c>
      <c r="G804">
        <v>565.92999999999995</v>
      </c>
      <c r="H804">
        <v>4527.4399999999996</v>
      </c>
    </row>
    <row r="805" spans="1:8" x14ac:dyDescent="0.25">
      <c r="A805">
        <v>1804</v>
      </c>
      <c r="B805" s="1">
        <v>45350</v>
      </c>
      <c r="C805" s="13" t="s">
        <v>13</v>
      </c>
      <c r="D805" s="13" t="s">
        <v>18</v>
      </c>
      <c r="E805" s="13" t="s">
        <v>16</v>
      </c>
      <c r="F805">
        <v>6</v>
      </c>
      <c r="G805">
        <v>1308.17</v>
      </c>
      <c r="H805">
        <v>7849.02</v>
      </c>
    </row>
    <row r="806" spans="1:8" x14ac:dyDescent="0.25">
      <c r="A806">
        <v>1805</v>
      </c>
      <c r="B806" s="1">
        <v>45470</v>
      </c>
      <c r="C806" s="13" t="s">
        <v>19</v>
      </c>
      <c r="D806" s="13" t="s">
        <v>18</v>
      </c>
      <c r="E806" s="13" t="s">
        <v>16</v>
      </c>
      <c r="F806">
        <v>1</v>
      </c>
      <c r="G806">
        <v>837.32</v>
      </c>
      <c r="H806">
        <v>837.32</v>
      </c>
    </row>
    <row r="807" spans="1:8" x14ac:dyDescent="0.25">
      <c r="A807">
        <v>1806</v>
      </c>
      <c r="B807" s="1">
        <v>45496</v>
      </c>
      <c r="C807" s="13" t="s">
        <v>11</v>
      </c>
      <c r="D807" s="13" t="s">
        <v>15</v>
      </c>
      <c r="E807" s="13" t="s">
        <v>10</v>
      </c>
      <c r="F807">
        <v>16</v>
      </c>
      <c r="G807">
        <v>340.01</v>
      </c>
      <c r="H807">
        <v>5440.16</v>
      </c>
    </row>
    <row r="808" spans="1:8" x14ac:dyDescent="0.25">
      <c r="A808">
        <v>1807</v>
      </c>
      <c r="B808" s="1">
        <v>45337</v>
      </c>
      <c r="C808" s="13" t="s">
        <v>19</v>
      </c>
      <c r="D808" s="13" t="s">
        <v>18</v>
      </c>
      <c r="E808" s="13" t="s">
        <v>16</v>
      </c>
      <c r="F808">
        <v>1</v>
      </c>
      <c r="G808">
        <v>566.58000000000004</v>
      </c>
      <c r="H808">
        <v>566.58000000000004</v>
      </c>
    </row>
    <row r="809" spans="1:8" x14ac:dyDescent="0.25">
      <c r="A809">
        <v>1808</v>
      </c>
      <c r="B809" s="1">
        <v>45448</v>
      </c>
      <c r="C809" s="13" t="s">
        <v>11</v>
      </c>
      <c r="D809" s="13" t="s">
        <v>20</v>
      </c>
      <c r="E809" s="13" t="s">
        <v>12</v>
      </c>
      <c r="F809">
        <v>13</v>
      </c>
      <c r="G809">
        <v>1051.79</v>
      </c>
      <c r="H809">
        <v>13673.27</v>
      </c>
    </row>
    <row r="810" spans="1:8" x14ac:dyDescent="0.25">
      <c r="A810">
        <v>1809</v>
      </c>
      <c r="B810" s="1">
        <v>45635</v>
      </c>
      <c r="C810" s="13" t="s">
        <v>8</v>
      </c>
      <c r="D810" s="13" t="s">
        <v>15</v>
      </c>
      <c r="E810" s="13" t="s">
        <v>14</v>
      </c>
      <c r="F810">
        <v>5</v>
      </c>
      <c r="G810">
        <v>709.26</v>
      </c>
      <c r="H810">
        <v>3546.3</v>
      </c>
    </row>
    <row r="811" spans="1:8" x14ac:dyDescent="0.25">
      <c r="A811">
        <v>1810</v>
      </c>
      <c r="B811" s="1">
        <v>45324</v>
      </c>
      <c r="C811" s="13" t="s">
        <v>11</v>
      </c>
      <c r="D811" s="13" t="s">
        <v>15</v>
      </c>
      <c r="E811" s="13" t="s">
        <v>21</v>
      </c>
      <c r="F811">
        <v>1</v>
      </c>
      <c r="G811">
        <v>738.72</v>
      </c>
      <c r="H811">
        <v>738.72</v>
      </c>
    </row>
    <row r="812" spans="1:8" x14ac:dyDescent="0.25">
      <c r="A812">
        <v>1811</v>
      </c>
      <c r="B812" s="1">
        <v>45572</v>
      </c>
      <c r="C812" s="13" t="s">
        <v>17</v>
      </c>
      <c r="D812" s="13" t="s">
        <v>18</v>
      </c>
      <c r="E812" s="13" t="s">
        <v>12</v>
      </c>
      <c r="F812">
        <v>10</v>
      </c>
      <c r="G812">
        <v>1032.47</v>
      </c>
      <c r="H812">
        <v>10324.700000000001</v>
      </c>
    </row>
    <row r="813" spans="1:8" x14ac:dyDescent="0.25">
      <c r="A813">
        <v>1812</v>
      </c>
      <c r="B813" s="1">
        <v>45462</v>
      </c>
      <c r="C813" s="13" t="s">
        <v>19</v>
      </c>
      <c r="D813" s="13" t="s">
        <v>18</v>
      </c>
      <c r="E813" s="13" t="s">
        <v>14</v>
      </c>
      <c r="F813">
        <v>9</v>
      </c>
      <c r="G813">
        <v>585.92999999999995</v>
      </c>
      <c r="H813">
        <v>5273.37</v>
      </c>
    </row>
    <row r="814" spans="1:8" x14ac:dyDescent="0.25">
      <c r="A814">
        <v>1813</v>
      </c>
      <c r="B814" s="1">
        <v>45402</v>
      </c>
      <c r="C814" s="13" t="s">
        <v>19</v>
      </c>
      <c r="D814" s="13" t="s">
        <v>15</v>
      </c>
      <c r="E814" s="13" t="s">
        <v>14</v>
      </c>
      <c r="F814">
        <v>7</v>
      </c>
      <c r="G814">
        <v>1399.59</v>
      </c>
      <c r="H814">
        <v>9797.1299999999992</v>
      </c>
    </row>
    <row r="815" spans="1:8" x14ac:dyDescent="0.25">
      <c r="A815">
        <v>1814</v>
      </c>
      <c r="B815" s="1">
        <v>45561</v>
      </c>
      <c r="C815" s="13" t="s">
        <v>8</v>
      </c>
      <c r="D815" s="13" t="s">
        <v>18</v>
      </c>
      <c r="E815" s="13" t="s">
        <v>12</v>
      </c>
      <c r="F815">
        <v>1</v>
      </c>
      <c r="G815">
        <v>1053.9000000000001</v>
      </c>
      <c r="H815">
        <v>1053.9000000000001</v>
      </c>
    </row>
    <row r="816" spans="1:8" x14ac:dyDescent="0.25">
      <c r="A816">
        <v>1815</v>
      </c>
      <c r="B816" s="1">
        <v>45471</v>
      </c>
      <c r="C816" s="13" t="s">
        <v>11</v>
      </c>
      <c r="D816" s="13" t="s">
        <v>18</v>
      </c>
      <c r="E816" s="13" t="s">
        <v>21</v>
      </c>
      <c r="F816">
        <v>4</v>
      </c>
      <c r="G816">
        <v>1281.8</v>
      </c>
      <c r="H816">
        <v>5127.2</v>
      </c>
    </row>
    <row r="817" spans="1:8" x14ac:dyDescent="0.25">
      <c r="A817">
        <v>1816</v>
      </c>
      <c r="B817" s="1">
        <v>45394</v>
      </c>
      <c r="C817" s="13" t="s">
        <v>19</v>
      </c>
      <c r="D817" s="13" t="s">
        <v>9</v>
      </c>
      <c r="E817" s="13" t="s">
        <v>14</v>
      </c>
      <c r="F817">
        <v>9</v>
      </c>
      <c r="G817">
        <v>1289.32</v>
      </c>
      <c r="H817">
        <v>11603.88</v>
      </c>
    </row>
    <row r="818" spans="1:8" x14ac:dyDescent="0.25">
      <c r="A818">
        <v>1817</v>
      </c>
      <c r="B818" s="1">
        <v>45600</v>
      </c>
      <c r="C818" s="13" t="s">
        <v>19</v>
      </c>
      <c r="D818" s="13" t="s">
        <v>18</v>
      </c>
      <c r="E818" s="13" t="s">
        <v>21</v>
      </c>
      <c r="F818">
        <v>15</v>
      </c>
      <c r="G818">
        <v>1371.72</v>
      </c>
      <c r="H818">
        <v>20575.8</v>
      </c>
    </row>
    <row r="819" spans="1:8" x14ac:dyDescent="0.25">
      <c r="A819">
        <v>1818</v>
      </c>
      <c r="B819" s="1">
        <v>45364</v>
      </c>
      <c r="C819" s="13" t="s">
        <v>11</v>
      </c>
      <c r="D819" s="13" t="s">
        <v>20</v>
      </c>
      <c r="E819" s="13" t="s">
        <v>21</v>
      </c>
      <c r="F819">
        <v>5</v>
      </c>
      <c r="G819">
        <v>683.19</v>
      </c>
      <c r="H819">
        <v>3415.95</v>
      </c>
    </row>
    <row r="820" spans="1:8" x14ac:dyDescent="0.25">
      <c r="A820">
        <v>1819</v>
      </c>
      <c r="B820" s="1">
        <v>45519</v>
      </c>
      <c r="C820" s="13" t="s">
        <v>17</v>
      </c>
      <c r="D820" s="13" t="s">
        <v>18</v>
      </c>
      <c r="E820" s="13" t="s">
        <v>16</v>
      </c>
      <c r="F820">
        <v>14</v>
      </c>
      <c r="G820">
        <v>1359.71</v>
      </c>
      <c r="H820">
        <v>19035.939999999999</v>
      </c>
    </row>
    <row r="821" spans="1:8" x14ac:dyDescent="0.25">
      <c r="A821">
        <v>1820</v>
      </c>
      <c r="B821" s="1">
        <v>45611</v>
      </c>
      <c r="C821" s="13" t="s">
        <v>17</v>
      </c>
      <c r="D821" s="13" t="s">
        <v>9</v>
      </c>
      <c r="E821" s="13" t="s">
        <v>21</v>
      </c>
      <c r="F821">
        <v>10</v>
      </c>
      <c r="G821">
        <v>701.02</v>
      </c>
      <c r="H821">
        <v>7010.2</v>
      </c>
    </row>
    <row r="822" spans="1:8" x14ac:dyDescent="0.25">
      <c r="A822">
        <v>1821</v>
      </c>
      <c r="B822" s="1">
        <v>45297</v>
      </c>
      <c r="C822" s="13" t="s">
        <v>19</v>
      </c>
      <c r="D822" s="13" t="s">
        <v>9</v>
      </c>
      <c r="E822" s="13" t="s">
        <v>21</v>
      </c>
      <c r="F822">
        <v>18</v>
      </c>
      <c r="G822">
        <v>758.76</v>
      </c>
      <c r="H822">
        <v>13657.68</v>
      </c>
    </row>
    <row r="823" spans="1:8" x14ac:dyDescent="0.25">
      <c r="A823">
        <v>1822</v>
      </c>
      <c r="B823" s="1">
        <v>45613</v>
      </c>
      <c r="C823" s="13" t="s">
        <v>8</v>
      </c>
      <c r="D823" s="13" t="s">
        <v>15</v>
      </c>
      <c r="E823" s="13" t="s">
        <v>10</v>
      </c>
      <c r="F823">
        <v>13</v>
      </c>
      <c r="G823">
        <v>1297.77</v>
      </c>
      <c r="H823">
        <v>16871.009999999998</v>
      </c>
    </row>
    <row r="824" spans="1:8" x14ac:dyDescent="0.25">
      <c r="A824">
        <v>1823</v>
      </c>
      <c r="B824" s="1">
        <v>45369</v>
      </c>
      <c r="C824" s="13" t="s">
        <v>8</v>
      </c>
      <c r="D824" s="13" t="s">
        <v>18</v>
      </c>
      <c r="E824" s="13" t="s">
        <v>16</v>
      </c>
      <c r="F824">
        <v>19</v>
      </c>
      <c r="G824">
        <v>1142.6600000000001</v>
      </c>
      <c r="H824">
        <v>21710.54</v>
      </c>
    </row>
    <row r="825" spans="1:8" x14ac:dyDescent="0.25">
      <c r="A825">
        <v>1824</v>
      </c>
      <c r="B825" s="1">
        <v>45450</v>
      </c>
      <c r="C825" s="13" t="s">
        <v>11</v>
      </c>
      <c r="D825" s="13" t="s">
        <v>18</v>
      </c>
      <c r="E825" s="13" t="s">
        <v>12</v>
      </c>
      <c r="F825">
        <v>11</v>
      </c>
      <c r="G825">
        <v>730.92</v>
      </c>
      <c r="H825">
        <v>8040.12</v>
      </c>
    </row>
    <row r="826" spans="1:8" x14ac:dyDescent="0.25">
      <c r="A826">
        <v>1825</v>
      </c>
      <c r="B826" s="1">
        <v>45648</v>
      </c>
      <c r="C826" s="13" t="s">
        <v>13</v>
      </c>
      <c r="D826" s="13" t="s">
        <v>20</v>
      </c>
      <c r="E826" s="13" t="s">
        <v>14</v>
      </c>
      <c r="F826">
        <v>10</v>
      </c>
      <c r="G826">
        <v>1079.2</v>
      </c>
      <c r="H826">
        <v>10792</v>
      </c>
    </row>
    <row r="827" spans="1:8" x14ac:dyDescent="0.25">
      <c r="A827">
        <v>1826</v>
      </c>
      <c r="B827" s="1">
        <v>45353</v>
      </c>
      <c r="C827" s="13" t="s">
        <v>11</v>
      </c>
      <c r="D827" s="13" t="s">
        <v>18</v>
      </c>
      <c r="E827" s="13" t="s">
        <v>10</v>
      </c>
      <c r="F827">
        <v>7</v>
      </c>
      <c r="G827">
        <v>1440.59</v>
      </c>
      <c r="H827">
        <v>10084.129999999999</v>
      </c>
    </row>
    <row r="828" spans="1:8" x14ac:dyDescent="0.25">
      <c r="A828">
        <v>1827</v>
      </c>
      <c r="B828" s="1">
        <v>45519</v>
      </c>
      <c r="C828" s="13" t="s">
        <v>13</v>
      </c>
      <c r="D828" s="13" t="s">
        <v>20</v>
      </c>
      <c r="E828" s="13" t="s">
        <v>14</v>
      </c>
      <c r="F828">
        <v>4</v>
      </c>
      <c r="G828">
        <v>599.51</v>
      </c>
      <c r="H828">
        <v>2398.04</v>
      </c>
    </row>
    <row r="829" spans="1:8" x14ac:dyDescent="0.25">
      <c r="A829">
        <v>1828</v>
      </c>
      <c r="B829" s="1">
        <v>45552</v>
      </c>
      <c r="C829" s="13" t="s">
        <v>19</v>
      </c>
      <c r="D829" s="13" t="s">
        <v>18</v>
      </c>
      <c r="E829" s="13" t="s">
        <v>14</v>
      </c>
      <c r="F829">
        <v>17</v>
      </c>
      <c r="G829">
        <v>1478.2</v>
      </c>
      <c r="H829">
        <v>25129.4</v>
      </c>
    </row>
    <row r="830" spans="1:8" x14ac:dyDescent="0.25">
      <c r="A830">
        <v>1829</v>
      </c>
      <c r="B830" s="1">
        <v>45508</v>
      </c>
      <c r="C830" s="13" t="s">
        <v>8</v>
      </c>
      <c r="D830" s="13" t="s">
        <v>15</v>
      </c>
      <c r="E830" s="13" t="s">
        <v>12</v>
      </c>
      <c r="F830">
        <v>2</v>
      </c>
      <c r="G830">
        <v>1278.31</v>
      </c>
      <c r="H830">
        <v>2556.62</v>
      </c>
    </row>
    <row r="831" spans="1:8" x14ac:dyDescent="0.25">
      <c r="A831">
        <v>1830</v>
      </c>
      <c r="B831" s="1">
        <v>45506</v>
      </c>
      <c r="C831" s="13" t="s">
        <v>19</v>
      </c>
      <c r="D831" s="13" t="s">
        <v>20</v>
      </c>
      <c r="E831" s="13" t="s">
        <v>21</v>
      </c>
      <c r="F831">
        <v>11</v>
      </c>
      <c r="G831">
        <v>1384.47</v>
      </c>
      <c r="H831">
        <v>15229.17</v>
      </c>
    </row>
    <row r="832" spans="1:8" x14ac:dyDescent="0.25">
      <c r="A832">
        <v>1831</v>
      </c>
      <c r="B832" s="1">
        <v>45524</v>
      </c>
      <c r="C832" s="13" t="s">
        <v>8</v>
      </c>
      <c r="D832" s="13" t="s">
        <v>18</v>
      </c>
      <c r="E832" s="13" t="s">
        <v>21</v>
      </c>
      <c r="F832">
        <v>17</v>
      </c>
      <c r="G832">
        <v>92.75</v>
      </c>
      <c r="H832">
        <v>1576.75</v>
      </c>
    </row>
    <row r="833" spans="1:8" x14ac:dyDescent="0.25">
      <c r="A833">
        <v>1832</v>
      </c>
      <c r="B833" s="1">
        <v>45459</v>
      </c>
      <c r="C833" s="13" t="s">
        <v>13</v>
      </c>
      <c r="D833" s="13" t="s">
        <v>18</v>
      </c>
      <c r="E833" s="13" t="s">
        <v>21</v>
      </c>
      <c r="F833">
        <v>6</v>
      </c>
      <c r="G833">
        <v>913.73</v>
      </c>
      <c r="H833">
        <v>5482.38</v>
      </c>
    </row>
    <row r="834" spans="1:8" x14ac:dyDescent="0.25">
      <c r="A834">
        <v>1833</v>
      </c>
      <c r="B834" s="1">
        <v>45374</v>
      </c>
      <c r="C834" s="13" t="s">
        <v>19</v>
      </c>
      <c r="D834" s="13" t="s">
        <v>20</v>
      </c>
      <c r="E834" s="13" t="s">
        <v>21</v>
      </c>
      <c r="F834">
        <v>2</v>
      </c>
      <c r="G834">
        <v>486.16</v>
      </c>
      <c r="H834">
        <v>972.32</v>
      </c>
    </row>
    <row r="835" spans="1:8" x14ac:dyDescent="0.25">
      <c r="A835">
        <v>1834</v>
      </c>
      <c r="B835" s="1">
        <v>45447</v>
      </c>
      <c r="C835" s="13" t="s">
        <v>13</v>
      </c>
      <c r="D835" s="13" t="s">
        <v>18</v>
      </c>
      <c r="E835" s="13" t="s">
        <v>12</v>
      </c>
      <c r="F835">
        <v>1</v>
      </c>
      <c r="G835">
        <v>117.86</v>
      </c>
      <c r="H835">
        <v>117.86</v>
      </c>
    </row>
    <row r="836" spans="1:8" x14ac:dyDescent="0.25">
      <c r="A836">
        <v>1835</v>
      </c>
      <c r="B836" s="1">
        <v>45474</v>
      </c>
      <c r="C836" s="13" t="s">
        <v>11</v>
      </c>
      <c r="D836" s="13" t="s">
        <v>15</v>
      </c>
      <c r="E836" s="13" t="s">
        <v>10</v>
      </c>
      <c r="F836">
        <v>17</v>
      </c>
      <c r="G836">
        <v>1082.93</v>
      </c>
      <c r="H836">
        <v>18409.810000000001</v>
      </c>
    </row>
    <row r="837" spans="1:8" x14ac:dyDescent="0.25">
      <c r="A837">
        <v>1836</v>
      </c>
      <c r="B837" s="1">
        <v>45598</v>
      </c>
      <c r="C837" s="13" t="s">
        <v>11</v>
      </c>
      <c r="D837" s="13" t="s">
        <v>9</v>
      </c>
      <c r="E837" s="13" t="s">
        <v>21</v>
      </c>
      <c r="F837">
        <v>7</v>
      </c>
      <c r="G837">
        <v>984.95</v>
      </c>
      <c r="H837">
        <v>6894.6500000000005</v>
      </c>
    </row>
    <row r="838" spans="1:8" x14ac:dyDescent="0.25">
      <c r="A838">
        <v>1837</v>
      </c>
      <c r="B838" s="1">
        <v>45541</v>
      </c>
      <c r="C838" s="13" t="s">
        <v>19</v>
      </c>
      <c r="D838" s="13" t="s">
        <v>9</v>
      </c>
      <c r="E838" s="13" t="s">
        <v>21</v>
      </c>
      <c r="F838">
        <v>3</v>
      </c>
      <c r="G838">
        <v>141.54</v>
      </c>
      <c r="H838">
        <v>424.62</v>
      </c>
    </row>
    <row r="839" spans="1:8" x14ac:dyDescent="0.25">
      <c r="A839">
        <v>1838</v>
      </c>
      <c r="B839" s="1">
        <v>45606</v>
      </c>
      <c r="C839" s="13" t="s">
        <v>17</v>
      </c>
      <c r="D839" s="13" t="s">
        <v>18</v>
      </c>
      <c r="E839" s="13" t="s">
        <v>14</v>
      </c>
      <c r="F839">
        <v>15</v>
      </c>
      <c r="G839">
        <v>792.44</v>
      </c>
      <c r="H839">
        <v>11886.6</v>
      </c>
    </row>
    <row r="840" spans="1:8" x14ac:dyDescent="0.25">
      <c r="A840">
        <v>1839</v>
      </c>
      <c r="B840" s="1">
        <v>45606</v>
      </c>
      <c r="C840" s="13" t="s">
        <v>11</v>
      </c>
      <c r="D840" s="13" t="s">
        <v>15</v>
      </c>
      <c r="E840" s="13" t="s">
        <v>16</v>
      </c>
      <c r="F840">
        <v>11</v>
      </c>
      <c r="G840">
        <v>695.49</v>
      </c>
      <c r="H840">
        <v>7650.39</v>
      </c>
    </row>
    <row r="841" spans="1:8" x14ac:dyDescent="0.25">
      <c r="A841">
        <v>1840</v>
      </c>
      <c r="B841" s="1">
        <v>45510</v>
      </c>
      <c r="C841" s="13" t="s">
        <v>8</v>
      </c>
      <c r="D841" s="13" t="s">
        <v>20</v>
      </c>
      <c r="E841" s="13" t="s">
        <v>14</v>
      </c>
      <c r="F841">
        <v>8</v>
      </c>
      <c r="G841">
        <v>355.18</v>
      </c>
      <c r="H841">
        <v>2841.44</v>
      </c>
    </row>
    <row r="842" spans="1:8" x14ac:dyDescent="0.25">
      <c r="A842">
        <v>1841</v>
      </c>
      <c r="B842" s="1">
        <v>45590</v>
      </c>
      <c r="C842" s="13" t="s">
        <v>11</v>
      </c>
      <c r="D842" s="13" t="s">
        <v>15</v>
      </c>
      <c r="E842" s="13" t="s">
        <v>16</v>
      </c>
      <c r="F842">
        <v>3</v>
      </c>
      <c r="G842">
        <v>527.88</v>
      </c>
      <c r="H842">
        <v>1583.64</v>
      </c>
    </row>
    <row r="843" spans="1:8" x14ac:dyDescent="0.25">
      <c r="A843">
        <v>1842</v>
      </c>
      <c r="B843" s="1">
        <v>45312</v>
      </c>
      <c r="C843" s="13" t="s">
        <v>8</v>
      </c>
      <c r="D843" s="13" t="s">
        <v>18</v>
      </c>
      <c r="E843" s="13" t="s">
        <v>10</v>
      </c>
      <c r="F843">
        <v>2</v>
      </c>
      <c r="G843">
        <v>1260.72</v>
      </c>
      <c r="H843">
        <v>2521.44</v>
      </c>
    </row>
    <row r="844" spans="1:8" x14ac:dyDescent="0.25">
      <c r="A844">
        <v>1843</v>
      </c>
      <c r="B844" s="1">
        <v>45351</v>
      </c>
      <c r="C844" s="13" t="s">
        <v>8</v>
      </c>
      <c r="D844" s="13" t="s">
        <v>18</v>
      </c>
      <c r="E844" s="13" t="s">
        <v>12</v>
      </c>
      <c r="F844">
        <v>13</v>
      </c>
      <c r="G844">
        <v>264.31</v>
      </c>
      <c r="H844">
        <v>3436.03</v>
      </c>
    </row>
    <row r="845" spans="1:8" x14ac:dyDescent="0.25">
      <c r="A845">
        <v>1844</v>
      </c>
      <c r="B845" s="1">
        <v>45422</v>
      </c>
      <c r="C845" s="13" t="s">
        <v>19</v>
      </c>
      <c r="D845" s="13" t="s">
        <v>9</v>
      </c>
      <c r="E845" s="13" t="s">
        <v>14</v>
      </c>
      <c r="F845">
        <v>19</v>
      </c>
      <c r="G845">
        <v>879.18</v>
      </c>
      <c r="H845">
        <v>16704.419999999998</v>
      </c>
    </row>
    <row r="846" spans="1:8" x14ac:dyDescent="0.25">
      <c r="A846">
        <v>1845</v>
      </c>
      <c r="B846" s="1">
        <v>45433</v>
      </c>
      <c r="C846" s="13" t="s">
        <v>8</v>
      </c>
      <c r="D846" s="13" t="s">
        <v>15</v>
      </c>
      <c r="E846" s="13" t="s">
        <v>10</v>
      </c>
      <c r="F846">
        <v>1</v>
      </c>
      <c r="G846">
        <v>977.13</v>
      </c>
      <c r="H846">
        <v>977.13</v>
      </c>
    </row>
    <row r="847" spans="1:8" x14ac:dyDescent="0.25">
      <c r="A847">
        <v>1846</v>
      </c>
      <c r="B847" s="1">
        <v>45582</v>
      </c>
      <c r="C847" s="13" t="s">
        <v>17</v>
      </c>
      <c r="D847" s="13" t="s">
        <v>20</v>
      </c>
      <c r="E847" s="13" t="s">
        <v>12</v>
      </c>
      <c r="F847">
        <v>13</v>
      </c>
      <c r="G847">
        <v>707.09</v>
      </c>
      <c r="H847">
        <v>9192.17</v>
      </c>
    </row>
    <row r="848" spans="1:8" x14ac:dyDescent="0.25">
      <c r="A848">
        <v>1847</v>
      </c>
      <c r="B848" s="1">
        <v>45462</v>
      </c>
      <c r="C848" s="13" t="s">
        <v>13</v>
      </c>
      <c r="D848" s="13" t="s">
        <v>9</v>
      </c>
      <c r="E848" s="13" t="s">
        <v>14</v>
      </c>
      <c r="F848">
        <v>1</v>
      </c>
      <c r="G848">
        <v>404.9</v>
      </c>
      <c r="H848">
        <v>404.9</v>
      </c>
    </row>
    <row r="849" spans="1:8" x14ac:dyDescent="0.25">
      <c r="A849">
        <v>1848</v>
      </c>
      <c r="B849" s="1">
        <v>45389</v>
      </c>
      <c r="C849" s="13" t="s">
        <v>17</v>
      </c>
      <c r="D849" s="13" t="s">
        <v>9</v>
      </c>
      <c r="E849" s="13" t="s">
        <v>21</v>
      </c>
      <c r="F849">
        <v>11</v>
      </c>
      <c r="G849">
        <v>1046.25</v>
      </c>
      <c r="H849">
        <v>11508.75</v>
      </c>
    </row>
    <row r="850" spans="1:8" x14ac:dyDescent="0.25">
      <c r="A850">
        <v>1849</v>
      </c>
      <c r="B850" s="1">
        <v>45638</v>
      </c>
      <c r="C850" s="13" t="s">
        <v>13</v>
      </c>
      <c r="D850" s="13" t="s">
        <v>18</v>
      </c>
      <c r="E850" s="13" t="s">
        <v>14</v>
      </c>
      <c r="F850">
        <v>11</v>
      </c>
      <c r="G850">
        <v>960.42</v>
      </c>
      <c r="H850">
        <v>10564.62</v>
      </c>
    </row>
    <row r="851" spans="1:8" x14ac:dyDescent="0.25">
      <c r="A851">
        <v>1850</v>
      </c>
      <c r="B851" s="1">
        <v>45606</v>
      </c>
      <c r="C851" s="13" t="s">
        <v>19</v>
      </c>
      <c r="D851" s="13" t="s">
        <v>20</v>
      </c>
      <c r="E851" s="13" t="s">
        <v>14</v>
      </c>
      <c r="F851">
        <v>3</v>
      </c>
      <c r="G851">
        <v>782.79</v>
      </c>
      <c r="H851">
        <v>2348.37</v>
      </c>
    </row>
    <row r="852" spans="1:8" x14ac:dyDescent="0.25">
      <c r="A852">
        <v>1851</v>
      </c>
      <c r="B852" s="1">
        <v>45438</v>
      </c>
      <c r="C852" s="13" t="s">
        <v>8</v>
      </c>
      <c r="D852" s="13" t="s">
        <v>15</v>
      </c>
      <c r="E852" s="13" t="s">
        <v>12</v>
      </c>
      <c r="F852">
        <v>11</v>
      </c>
      <c r="G852">
        <v>836</v>
      </c>
      <c r="H852">
        <v>9196</v>
      </c>
    </row>
    <row r="853" spans="1:8" x14ac:dyDescent="0.25">
      <c r="A853">
        <v>1852</v>
      </c>
      <c r="B853" s="1">
        <v>45419</v>
      </c>
      <c r="C853" s="13" t="s">
        <v>19</v>
      </c>
      <c r="D853" s="13" t="s">
        <v>15</v>
      </c>
      <c r="E853" s="13" t="s">
        <v>16</v>
      </c>
      <c r="F853">
        <v>1</v>
      </c>
      <c r="G853">
        <v>606.12</v>
      </c>
      <c r="H853">
        <v>606.12</v>
      </c>
    </row>
    <row r="854" spans="1:8" x14ac:dyDescent="0.25">
      <c r="A854">
        <v>1853</v>
      </c>
      <c r="B854" s="1">
        <v>45528</v>
      </c>
      <c r="C854" s="13" t="s">
        <v>11</v>
      </c>
      <c r="D854" s="13" t="s">
        <v>15</v>
      </c>
      <c r="E854" s="13" t="s">
        <v>12</v>
      </c>
      <c r="F854">
        <v>15</v>
      </c>
      <c r="G854">
        <v>264.86</v>
      </c>
      <c r="H854">
        <v>3972.9</v>
      </c>
    </row>
    <row r="855" spans="1:8" x14ac:dyDescent="0.25">
      <c r="A855">
        <v>1854</v>
      </c>
      <c r="B855" s="1">
        <v>45601</v>
      </c>
      <c r="C855" s="13" t="s">
        <v>19</v>
      </c>
      <c r="D855" s="13" t="s">
        <v>15</v>
      </c>
      <c r="E855" s="13" t="s">
        <v>10</v>
      </c>
      <c r="F855">
        <v>11</v>
      </c>
      <c r="G855">
        <v>804</v>
      </c>
      <c r="H855">
        <v>8844</v>
      </c>
    </row>
    <row r="856" spans="1:8" x14ac:dyDescent="0.25">
      <c r="A856">
        <v>1855</v>
      </c>
      <c r="B856" s="1">
        <v>45628</v>
      </c>
      <c r="C856" s="13" t="s">
        <v>17</v>
      </c>
      <c r="D856" s="13" t="s">
        <v>15</v>
      </c>
      <c r="E856" s="13" t="s">
        <v>21</v>
      </c>
      <c r="F856">
        <v>18</v>
      </c>
      <c r="G856">
        <v>507.5</v>
      </c>
      <c r="H856">
        <v>9135</v>
      </c>
    </row>
    <row r="857" spans="1:8" x14ac:dyDescent="0.25">
      <c r="A857">
        <v>1856</v>
      </c>
      <c r="B857" s="1">
        <v>45425</v>
      </c>
      <c r="C857" s="13" t="s">
        <v>13</v>
      </c>
      <c r="D857" s="13" t="s">
        <v>20</v>
      </c>
      <c r="E857" s="13" t="s">
        <v>10</v>
      </c>
      <c r="F857">
        <v>2</v>
      </c>
      <c r="G857">
        <v>1049.6600000000001</v>
      </c>
      <c r="H857">
        <v>2099.3200000000002</v>
      </c>
    </row>
    <row r="858" spans="1:8" x14ac:dyDescent="0.25">
      <c r="A858">
        <v>1857</v>
      </c>
      <c r="B858" s="1">
        <v>45480</v>
      </c>
      <c r="C858" s="13" t="s">
        <v>13</v>
      </c>
      <c r="D858" s="13" t="s">
        <v>15</v>
      </c>
      <c r="E858" s="13" t="s">
        <v>16</v>
      </c>
      <c r="F858">
        <v>4</v>
      </c>
      <c r="G858">
        <v>667.92</v>
      </c>
      <c r="H858">
        <v>2671.68</v>
      </c>
    </row>
    <row r="859" spans="1:8" x14ac:dyDescent="0.25">
      <c r="A859">
        <v>1858</v>
      </c>
      <c r="B859" s="1">
        <v>45571</v>
      </c>
      <c r="C859" s="13" t="s">
        <v>13</v>
      </c>
      <c r="D859" s="13" t="s">
        <v>15</v>
      </c>
      <c r="E859" s="13" t="s">
        <v>14</v>
      </c>
      <c r="F859">
        <v>7</v>
      </c>
      <c r="G859">
        <v>253.92</v>
      </c>
      <c r="H859">
        <v>1777.44</v>
      </c>
    </row>
    <row r="860" spans="1:8" x14ac:dyDescent="0.25">
      <c r="A860">
        <v>1859</v>
      </c>
      <c r="B860" s="1">
        <v>45622</v>
      </c>
      <c r="C860" s="13" t="s">
        <v>19</v>
      </c>
      <c r="D860" s="13" t="s">
        <v>18</v>
      </c>
      <c r="E860" s="13" t="s">
        <v>10</v>
      </c>
      <c r="F860">
        <v>19</v>
      </c>
      <c r="G860">
        <v>480.02</v>
      </c>
      <c r="H860">
        <v>9120.3799999999992</v>
      </c>
    </row>
    <row r="861" spans="1:8" x14ac:dyDescent="0.25">
      <c r="A861">
        <v>1860</v>
      </c>
      <c r="B861" s="1">
        <v>45460</v>
      </c>
      <c r="C861" s="13" t="s">
        <v>19</v>
      </c>
      <c r="D861" s="13" t="s">
        <v>9</v>
      </c>
      <c r="E861" s="13" t="s">
        <v>12</v>
      </c>
      <c r="F861">
        <v>12</v>
      </c>
      <c r="G861">
        <v>1469.27</v>
      </c>
      <c r="H861">
        <v>17631.240000000002</v>
      </c>
    </row>
    <row r="862" spans="1:8" x14ac:dyDescent="0.25">
      <c r="A862">
        <v>1861</v>
      </c>
      <c r="B862" s="1">
        <v>45340</v>
      </c>
      <c r="C862" s="13" t="s">
        <v>8</v>
      </c>
      <c r="D862" s="13" t="s">
        <v>15</v>
      </c>
      <c r="E862" s="13" t="s">
        <v>21</v>
      </c>
      <c r="F862">
        <v>14</v>
      </c>
      <c r="G862">
        <v>141.12</v>
      </c>
      <c r="H862">
        <v>1975.68</v>
      </c>
    </row>
    <row r="863" spans="1:8" x14ac:dyDescent="0.25">
      <c r="A863">
        <v>1862</v>
      </c>
      <c r="B863" s="1">
        <v>45508</v>
      </c>
      <c r="C863" s="13" t="s">
        <v>8</v>
      </c>
      <c r="D863" s="13" t="s">
        <v>18</v>
      </c>
      <c r="E863" s="13" t="s">
        <v>21</v>
      </c>
      <c r="F863">
        <v>1</v>
      </c>
      <c r="G863">
        <v>1358.11</v>
      </c>
      <c r="H863">
        <v>1358.11</v>
      </c>
    </row>
    <row r="864" spans="1:8" x14ac:dyDescent="0.25">
      <c r="A864">
        <v>1863</v>
      </c>
      <c r="B864" s="1">
        <v>45501</v>
      </c>
      <c r="C864" s="13" t="s">
        <v>11</v>
      </c>
      <c r="D864" s="13" t="s">
        <v>9</v>
      </c>
      <c r="E864" s="13" t="s">
        <v>21</v>
      </c>
      <c r="F864">
        <v>18</v>
      </c>
      <c r="G864">
        <v>1340.22</v>
      </c>
      <c r="H864">
        <v>24123.96</v>
      </c>
    </row>
    <row r="865" spans="1:8" x14ac:dyDescent="0.25">
      <c r="A865">
        <v>1864</v>
      </c>
      <c r="B865" s="1">
        <v>45365</v>
      </c>
      <c r="C865" s="13" t="s">
        <v>19</v>
      </c>
      <c r="D865" s="13" t="s">
        <v>18</v>
      </c>
      <c r="E865" s="13" t="s">
        <v>12</v>
      </c>
      <c r="F865">
        <v>14</v>
      </c>
      <c r="G865">
        <v>1429.28</v>
      </c>
      <c r="H865">
        <v>20009.919999999998</v>
      </c>
    </row>
    <row r="866" spans="1:8" x14ac:dyDescent="0.25">
      <c r="A866">
        <v>1865</v>
      </c>
      <c r="B866" s="1">
        <v>45401</v>
      </c>
      <c r="C866" s="13" t="s">
        <v>8</v>
      </c>
      <c r="D866" s="13" t="s">
        <v>15</v>
      </c>
      <c r="E866" s="13" t="s">
        <v>10</v>
      </c>
      <c r="F866">
        <v>8</v>
      </c>
      <c r="G866">
        <v>990.04</v>
      </c>
      <c r="H866">
        <v>7920.32</v>
      </c>
    </row>
    <row r="867" spans="1:8" x14ac:dyDescent="0.25">
      <c r="A867">
        <v>1866</v>
      </c>
      <c r="B867" s="1">
        <v>45532</v>
      </c>
      <c r="C867" s="13" t="s">
        <v>13</v>
      </c>
      <c r="D867" s="13" t="s">
        <v>15</v>
      </c>
      <c r="E867" s="13" t="s">
        <v>21</v>
      </c>
      <c r="F867">
        <v>11</v>
      </c>
      <c r="G867">
        <v>790.39</v>
      </c>
      <c r="H867">
        <v>8694.2899999999991</v>
      </c>
    </row>
    <row r="868" spans="1:8" x14ac:dyDescent="0.25">
      <c r="A868">
        <v>1867</v>
      </c>
      <c r="B868" s="1">
        <v>45417</v>
      </c>
      <c r="C868" s="13" t="s">
        <v>11</v>
      </c>
      <c r="D868" s="13" t="s">
        <v>18</v>
      </c>
      <c r="E868" s="13" t="s">
        <v>21</v>
      </c>
      <c r="F868">
        <v>3</v>
      </c>
      <c r="G868">
        <v>506.47</v>
      </c>
      <c r="H868">
        <v>1519.41</v>
      </c>
    </row>
    <row r="869" spans="1:8" x14ac:dyDescent="0.25">
      <c r="A869">
        <v>1868</v>
      </c>
      <c r="B869" s="1">
        <v>45523</v>
      </c>
      <c r="C869" s="13" t="s">
        <v>13</v>
      </c>
      <c r="D869" s="13" t="s">
        <v>18</v>
      </c>
      <c r="E869" s="13" t="s">
        <v>12</v>
      </c>
      <c r="F869">
        <v>10</v>
      </c>
      <c r="G869">
        <v>795.42</v>
      </c>
      <c r="H869">
        <v>7954.2</v>
      </c>
    </row>
    <row r="870" spans="1:8" x14ac:dyDescent="0.25">
      <c r="A870">
        <v>1869</v>
      </c>
      <c r="B870" s="1">
        <v>45512</v>
      </c>
      <c r="C870" s="13" t="s">
        <v>13</v>
      </c>
      <c r="D870" s="13" t="s">
        <v>15</v>
      </c>
      <c r="E870" s="13" t="s">
        <v>16</v>
      </c>
      <c r="F870">
        <v>16</v>
      </c>
      <c r="G870">
        <v>102.32</v>
      </c>
      <c r="H870">
        <v>1637.12</v>
      </c>
    </row>
    <row r="871" spans="1:8" x14ac:dyDescent="0.25">
      <c r="A871">
        <v>1870</v>
      </c>
      <c r="B871" s="1">
        <v>45575</v>
      </c>
      <c r="C871" s="13" t="s">
        <v>17</v>
      </c>
      <c r="D871" s="13" t="s">
        <v>18</v>
      </c>
      <c r="E871" s="13" t="s">
        <v>16</v>
      </c>
      <c r="F871">
        <v>16</v>
      </c>
      <c r="G871">
        <v>792.58</v>
      </c>
      <c r="H871">
        <v>12681.28</v>
      </c>
    </row>
    <row r="872" spans="1:8" x14ac:dyDescent="0.25">
      <c r="A872">
        <v>1871</v>
      </c>
      <c r="B872" s="1">
        <v>45651</v>
      </c>
      <c r="C872" s="13" t="s">
        <v>19</v>
      </c>
      <c r="D872" s="13" t="s">
        <v>9</v>
      </c>
      <c r="E872" s="13" t="s">
        <v>10</v>
      </c>
      <c r="F872">
        <v>6</v>
      </c>
      <c r="G872">
        <v>1198.1400000000001</v>
      </c>
      <c r="H872">
        <v>7188.84</v>
      </c>
    </row>
    <row r="873" spans="1:8" x14ac:dyDescent="0.25">
      <c r="A873">
        <v>1872</v>
      </c>
      <c r="B873" s="1">
        <v>45552</v>
      </c>
      <c r="C873" s="13" t="s">
        <v>19</v>
      </c>
      <c r="D873" s="13" t="s">
        <v>9</v>
      </c>
      <c r="E873" s="13" t="s">
        <v>12</v>
      </c>
      <c r="F873">
        <v>14</v>
      </c>
      <c r="G873">
        <v>130.83000000000001</v>
      </c>
      <c r="H873">
        <v>1831.62</v>
      </c>
    </row>
    <row r="874" spans="1:8" x14ac:dyDescent="0.25">
      <c r="A874">
        <v>1873</v>
      </c>
      <c r="B874" s="1">
        <v>45571</v>
      </c>
      <c r="C874" s="13" t="s">
        <v>8</v>
      </c>
      <c r="D874" s="13" t="s">
        <v>9</v>
      </c>
      <c r="E874" s="13" t="s">
        <v>16</v>
      </c>
      <c r="F874">
        <v>9</v>
      </c>
      <c r="G874">
        <v>348.1</v>
      </c>
      <c r="H874">
        <v>3132.9</v>
      </c>
    </row>
    <row r="875" spans="1:8" x14ac:dyDescent="0.25">
      <c r="A875">
        <v>1874</v>
      </c>
      <c r="B875" s="1">
        <v>45336</v>
      </c>
      <c r="C875" s="13" t="s">
        <v>13</v>
      </c>
      <c r="D875" s="13" t="s">
        <v>20</v>
      </c>
      <c r="E875" s="13" t="s">
        <v>14</v>
      </c>
      <c r="F875">
        <v>2</v>
      </c>
      <c r="G875">
        <v>87.25</v>
      </c>
      <c r="H875">
        <v>174.5</v>
      </c>
    </row>
    <row r="876" spans="1:8" x14ac:dyDescent="0.25">
      <c r="A876">
        <v>1875</v>
      </c>
      <c r="B876" s="1">
        <v>45584</v>
      </c>
      <c r="C876" s="13" t="s">
        <v>11</v>
      </c>
      <c r="D876" s="13" t="s">
        <v>20</v>
      </c>
      <c r="E876" s="13" t="s">
        <v>12</v>
      </c>
      <c r="F876">
        <v>10</v>
      </c>
      <c r="G876">
        <v>1367.44</v>
      </c>
      <c r="H876">
        <v>13674.4</v>
      </c>
    </row>
    <row r="877" spans="1:8" x14ac:dyDescent="0.25">
      <c r="A877">
        <v>1876</v>
      </c>
      <c r="B877" s="1">
        <v>45389</v>
      </c>
      <c r="C877" s="13" t="s">
        <v>19</v>
      </c>
      <c r="D877" s="13" t="s">
        <v>15</v>
      </c>
      <c r="E877" s="13" t="s">
        <v>14</v>
      </c>
      <c r="F877">
        <v>8</v>
      </c>
      <c r="G877">
        <v>1447.3</v>
      </c>
      <c r="H877">
        <v>11578.4</v>
      </c>
    </row>
    <row r="878" spans="1:8" x14ac:dyDescent="0.25">
      <c r="A878">
        <v>1877</v>
      </c>
      <c r="B878" s="1">
        <v>45333</v>
      </c>
      <c r="C878" s="13" t="s">
        <v>17</v>
      </c>
      <c r="D878" s="13" t="s">
        <v>15</v>
      </c>
      <c r="E878" s="13" t="s">
        <v>21</v>
      </c>
      <c r="F878">
        <v>14</v>
      </c>
      <c r="G878">
        <v>121.14</v>
      </c>
      <c r="H878">
        <v>1695.96</v>
      </c>
    </row>
    <row r="879" spans="1:8" x14ac:dyDescent="0.25">
      <c r="A879">
        <v>1878</v>
      </c>
      <c r="B879" s="1">
        <v>45516</v>
      </c>
      <c r="C879" s="13" t="s">
        <v>13</v>
      </c>
      <c r="D879" s="13" t="s">
        <v>9</v>
      </c>
      <c r="E879" s="13" t="s">
        <v>10</v>
      </c>
      <c r="F879">
        <v>11</v>
      </c>
      <c r="G879">
        <v>679.69</v>
      </c>
      <c r="H879">
        <v>7476.59</v>
      </c>
    </row>
    <row r="880" spans="1:8" x14ac:dyDescent="0.25">
      <c r="A880">
        <v>1879</v>
      </c>
      <c r="B880" s="1">
        <v>45622</v>
      </c>
      <c r="C880" s="13" t="s">
        <v>11</v>
      </c>
      <c r="D880" s="13" t="s">
        <v>20</v>
      </c>
      <c r="E880" s="13" t="s">
        <v>21</v>
      </c>
      <c r="F880">
        <v>19</v>
      </c>
      <c r="G880">
        <v>831.27</v>
      </c>
      <c r="H880">
        <v>15794.13</v>
      </c>
    </row>
    <row r="881" spans="1:8" x14ac:dyDescent="0.25">
      <c r="A881">
        <v>1880</v>
      </c>
      <c r="B881" s="1">
        <v>45536</v>
      </c>
      <c r="C881" s="13" t="s">
        <v>17</v>
      </c>
      <c r="D881" s="13" t="s">
        <v>9</v>
      </c>
      <c r="E881" s="13" t="s">
        <v>14</v>
      </c>
      <c r="F881">
        <v>12</v>
      </c>
      <c r="G881">
        <v>560.89</v>
      </c>
      <c r="H881">
        <v>6730.68</v>
      </c>
    </row>
    <row r="882" spans="1:8" x14ac:dyDescent="0.25">
      <c r="A882">
        <v>1881</v>
      </c>
      <c r="B882" s="1">
        <v>45492</v>
      </c>
      <c r="C882" s="13" t="s">
        <v>8</v>
      </c>
      <c r="D882" s="13" t="s">
        <v>18</v>
      </c>
      <c r="E882" s="13" t="s">
        <v>21</v>
      </c>
      <c r="F882">
        <v>14</v>
      </c>
      <c r="G882">
        <v>1365.95</v>
      </c>
      <c r="H882">
        <v>19123.3</v>
      </c>
    </row>
    <row r="883" spans="1:8" x14ac:dyDescent="0.25">
      <c r="A883">
        <v>1882</v>
      </c>
      <c r="B883" s="1">
        <v>45576</v>
      </c>
      <c r="C883" s="13" t="s">
        <v>17</v>
      </c>
      <c r="D883" s="13" t="s">
        <v>15</v>
      </c>
      <c r="E883" s="13" t="s">
        <v>10</v>
      </c>
      <c r="F883">
        <v>2</v>
      </c>
      <c r="G883">
        <v>469.23</v>
      </c>
      <c r="H883">
        <v>938.46</v>
      </c>
    </row>
    <row r="884" spans="1:8" x14ac:dyDescent="0.25">
      <c r="A884">
        <v>1883</v>
      </c>
      <c r="B884" s="1">
        <v>45493</v>
      </c>
      <c r="C884" s="13" t="s">
        <v>13</v>
      </c>
      <c r="D884" s="13" t="s">
        <v>9</v>
      </c>
      <c r="E884" s="13" t="s">
        <v>14</v>
      </c>
      <c r="F884">
        <v>5</v>
      </c>
      <c r="G884">
        <v>725.15</v>
      </c>
      <c r="H884">
        <v>3625.75</v>
      </c>
    </row>
    <row r="885" spans="1:8" x14ac:dyDescent="0.25">
      <c r="A885">
        <v>1884</v>
      </c>
      <c r="B885" s="1">
        <v>45357</v>
      </c>
      <c r="C885" s="13" t="s">
        <v>8</v>
      </c>
      <c r="D885" s="13" t="s">
        <v>20</v>
      </c>
      <c r="E885" s="13" t="s">
        <v>21</v>
      </c>
      <c r="F885">
        <v>7</v>
      </c>
      <c r="G885">
        <v>695.25</v>
      </c>
      <c r="H885">
        <v>4866.75</v>
      </c>
    </row>
    <row r="886" spans="1:8" x14ac:dyDescent="0.25">
      <c r="A886">
        <v>1885</v>
      </c>
      <c r="B886" s="1">
        <v>45317</v>
      </c>
      <c r="C886" s="13" t="s">
        <v>8</v>
      </c>
      <c r="D886" s="13" t="s">
        <v>18</v>
      </c>
      <c r="E886" s="13" t="s">
        <v>12</v>
      </c>
      <c r="F886">
        <v>18</v>
      </c>
      <c r="G886">
        <v>1055.92</v>
      </c>
      <c r="H886">
        <v>19006.560000000001</v>
      </c>
    </row>
    <row r="887" spans="1:8" x14ac:dyDescent="0.25">
      <c r="A887">
        <v>1886</v>
      </c>
      <c r="B887" s="1">
        <v>45601</v>
      </c>
      <c r="C887" s="13" t="s">
        <v>11</v>
      </c>
      <c r="D887" s="13" t="s">
        <v>9</v>
      </c>
      <c r="E887" s="13" t="s">
        <v>16</v>
      </c>
      <c r="F887">
        <v>14</v>
      </c>
      <c r="G887">
        <v>889.98</v>
      </c>
      <c r="H887">
        <v>12459.72</v>
      </c>
    </row>
    <row r="888" spans="1:8" x14ac:dyDescent="0.25">
      <c r="A888">
        <v>1887</v>
      </c>
      <c r="B888" s="1">
        <v>45367</v>
      </c>
      <c r="C888" s="13" t="s">
        <v>19</v>
      </c>
      <c r="D888" s="13" t="s">
        <v>9</v>
      </c>
      <c r="E888" s="13" t="s">
        <v>21</v>
      </c>
      <c r="F888">
        <v>17</v>
      </c>
      <c r="G888">
        <v>552.30999999999995</v>
      </c>
      <c r="H888">
        <v>9389.2699999999986</v>
      </c>
    </row>
    <row r="889" spans="1:8" x14ac:dyDescent="0.25">
      <c r="A889">
        <v>1888</v>
      </c>
      <c r="B889" s="1">
        <v>45384</v>
      </c>
      <c r="C889" s="13" t="s">
        <v>17</v>
      </c>
      <c r="D889" s="13" t="s">
        <v>15</v>
      </c>
      <c r="E889" s="13" t="s">
        <v>12</v>
      </c>
      <c r="F889">
        <v>16</v>
      </c>
      <c r="G889">
        <v>289.73</v>
      </c>
      <c r="H889">
        <v>4635.68</v>
      </c>
    </row>
    <row r="890" spans="1:8" x14ac:dyDescent="0.25">
      <c r="A890">
        <v>1889</v>
      </c>
      <c r="B890" s="1">
        <v>45572</v>
      </c>
      <c r="C890" s="13" t="s">
        <v>13</v>
      </c>
      <c r="D890" s="13" t="s">
        <v>15</v>
      </c>
      <c r="E890" s="13" t="s">
        <v>12</v>
      </c>
      <c r="F890">
        <v>2</v>
      </c>
      <c r="G890">
        <v>1182.67</v>
      </c>
      <c r="H890">
        <v>2365.34</v>
      </c>
    </row>
    <row r="891" spans="1:8" x14ac:dyDescent="0.25">
      <c r="A891">
        <v>1890</v>
      </c>
      <c r="B891" s="1">
        <v>45310</v>
      </c>
      <c r="C891" s="13" t="s">
        <v>11</v>
      </c>
      <c r="D891" s="13" t="s">
        <v>9</v>
      </c>
      <c r="E891" s="13" t="s">
        <v>21</v>
      </c>
      <c r="F891">
        <v>9</v>
      </c>
      <c r="G891">
        <v>145.85</v>
      </c>
      <c r="H891">
        <v>1312.65</v>
      </c>
    </row>
    <row r="892" spans="1:8" x14ac:dyDescent="0.25">
      <c r="A892">
        <v>1891</v>
      </c>
      <c r="B892" s="1">
        <v>45646</v>
      </c>
      <c r="C892" s="13" t="s">
        <v>17</v>
      </c>
      <c r="D892" s="13" t="s">
        <v>9</v>
      </c>
      <c r="E892" s="13" t="s">
        <v>10</v>
      </c>
      <c r="F892">
        <v>19</v>
      </c>
      <c r="G892">
        <v>494.91</v>
      </c>
      <c r="H892">
        <v>9403.2900000000009</v>
      </c>
    </row>
    <row r="893" spans="1:8" x14ac:dyDescent="0.25">
      <c r="A893">
        <v>1892</v>
      </c>
      <c r="B893" s="1">
        <v>45396</v>
      </c>
      <c r="C893" s="13" t="s">
        <v>13</v>
      </c>
      <c r="D893" s="13" t="s">
        <v>18</v>
      </c>
      <c r="E893" s="13" t="s">
        <v>12</v>
      </c>
      <c r="F893">
        <v>19</v>
      </c>
      <c r="G893">
        <v>1420.45</v>
      </c>
      <c r="H893">
        <v>26988.55</v>
      </c>
    </row>
    <row r="894" spans="1:8" x14ac:dyDescent="0.25">
      <c r="A894">
        <v>1893</v>
      </c>
      <c r="B894" s="1">
        <v>45299</v>
      </c>
      <c r="C894" s="13" t="s">
        <v>19</v>
      </c>
      <c r="D894" s="13" t="s">
        <v>20</v>
      </c>
      <c r="E894" s="13" t="s">
        <v>21</v>
      </c>
      <c r="F894">
        <v>11</v>
      </c>
      <c r="G894">
        <v>691.44</v>
      </c>
      <c r="H894">
        <v>7605.84</v>
      </c>
    </row>
    <row r="895" spans="1:8" x14ac:dyDescent="0.25">
      <c r="A895">
        <v>1894</v>
      </c>
      <c r="B895" s="1">
        <v>45401</v>
      </c>
      <c r="C895" s="13" t="s">
        <v>11</v>
      </c>
      <c r="D895" s="13" t="s">
        <v>18</v>
      </c>
      <c r="E895" s="13" t="s">
        <v>10</v>
      </c>
      <c r="F895">
        <v>17</v>
      </c>
      <c r="G895">
        <v>995.63</v>
      </c>
      <c r="H895">
        <v>16925.71</v>
      </c>
    </row>
    <row r="896" spans="1:8" x14ac:dyDescent="0.25">
      <c r="A896">
        <v>1895</v>
      </c>
      <c r="B896" s="1">
        <v>45426</v>
      </c>
      <c r="C896" s="13" t="s">
        <v>11</v>
      </c>
      <c r="D896" s="13" t="s">
        <v>18</v>
      </c>
      <c r="E896" s="13" t="s">
        <v>12</v>
      </c>
      <c r="F896">
        <v>15</v>
      </c>
      <c r="G896">
        <v>427.32</v>
      </c>
      <c r="H896">
        <v>6409.8</v>
      </c>
    </row>
    <row r="897" spans="1:8" x14ac:dyDescent="0.25">
      <c r="A897">
        <v>1896</v>
      </c>
      <c r="B897" s="1">
        <v>45303</v>
      </c>
      <c r="C897" s="13" t="s">
        <v>17</v>
      </c>
      <c r="D897" s="13" t="s">
        <v>15</v>
      </c>
      <c r="E897" s="13" t="s">
        <v>10</v>
      </c>
      <c r="F897">
        <v>16</v>
      </c>
      <c r="G897">
        <v>51.54</v>
      </c>
      <c r="H897">
        <v>824.64</v>
      </c>
    </row>
    <row r="898" spans="1:8" x14ac:dyDescent="0.25">
      <c r="A898">
        <v>1897</v>
      </c>
      <c r="B898" s="1">
        <v>45363</v>
      </c>
      <c r="C898" s="13" t="s">
        <v>13</v>
      </c>
      <c r="D898" s="13" t="s">
        <v>9</v>
      </c>
      <c r="E898" s="13" t="s">
        <v>16</v>
      </c>
      <c r="F898">
        <v>5</v>
      </c>
      <c r="G898">
        <v>1056.44</v>
      </c>
      <c r="H898">
        <v>5282.2000000000007</v>
      </c>
    </row>
    <row r="899" spans="1:8" x14ac:dyDescent="0.25">
      <c r="A899">
        <v>1898</v>
      </c>
      <c r="B899" s="1">
        <v>45451</v>
      </c>
      <c r="C899" s="13" t="s">
        <v>17</v>
      </c>
      <c r="D899" s="13" t="s">
        <v>18</v>
      </c>
      <c r="E899" s="13" t="s">
        <v>12</v>
      </c>
      <c r="F899">
        <v>15</v>
      </c>
      <c r="G899">
        <v>613.04</v>
      </c>
      <c r="H899">
        <v>9195.5999999999985</v>
      </c>
    </row>
    <row r="900" spans="1:8" x14ac:dyDescent="0.25">
      <c r="A900">
        <v>1899</v>
      </c>
      <c r="B900" s="1">
        <v>45539</v>
      </c>
      <c r="C900" s="13" t="s">
        <v>17</v>
      </c>
      <c r="D900" s="13" t="s">
        <v>18</v>
      </c>
      <c r="E900" s="13" t="s">
        <v>12</v>
      </c>
      <c r="F900">
        <v>9</v>
      </c>
      <c r="G900">
        <v>517.67999999999995</v>
      </c>
      <c r="H900">
        <v>4659.12</v>
      </c>
    </row>
    <row r="901" spans="1:8" x14ac:dyDescent="0.25">
      <c r="A901">
        <v>1900</v>
      </c>
      <c r="B901" s="1">
        <v>45575</v>
      </c>
      <c r="C901" s="13" t="s">
        <v>11</v>
      </c>
      <c r="D901" s="13" t="s">
        <v>9</v>
      </c>
      <c r="E901" s="13" t="s">
        <v>10</v>
      </c>
      <c r="F901">
        <v>11</v>
      </c>
      <c r="G901">
        <v>897.41</v>
      </c>
      <c r="H901">
        <v>9871.51</v>
      </c>
    </row>
    <row r="902" spans="1:8" x14ac:dyDescent="0.25">
      <c r="A902">
        <v>1901</v>
      </c>
      <c r="B902" s="1">
        <v>45554</v>
      </c>
      <c r="C902" s="13" t="s">
        <v>17</v>
      </c>
      <c r="D902" s="13" t="s">
        <v>20</v>
      </c>
      <c r="E902" s="13" t="s">
        <v>12</v>
      </c>
      <c r="F902">
        <v>18</v>
      </c>
      <c r="G902">
        <v>1492.81</v>
      </c>
      <c r="H902">
        <v>26870.58</v>
      </c>
    </row>
    <row r="903" spans="1:8" x14ac:dyDescent="0.25">
      <c r="A903">
        <v>1902</v>
      </c>
      <c r="B903" s="1">
        <v>45456</v>
      </c>
      <c r="C903" s="13" t="s">
        <v>13</v>
      </c>
      <c r="D903" s="13" t="s">
        <v>9</v>
      </c>
      <c r="E903" s="13" t="s">
        <v>12</v>
      </c>
      <c r="F903">
        <v>18</v>
      </c>
      <c r="G903">
        <v>1179.92</v>
      </c>
      <c r="H903">
        <v>21238.560000000001</v>
      </c>
    </row>
    <row r="904" spans="1:8" x14ac:dyDescent="0.25">
      <c r="A904">
        <v>1903</v>
      </c>
      <c r="B904" s="1">
        <v>45346</v>
      </c>
      <c r="C904" s="13" t="s">
        <v>8</v>
      </c>
      <c r="D904" s="13" t="s">
        <v>15</v>
      </c>
      <c r="E904" s="13" t="s">
        <v>14</v>
      </c>
      <c r="F904">
        <v>4</v>
      </c>
      <c r="G904">
        <v>702.05</v>
      </c>
      <c r="H904">
        <v>2808.2</v>
      </c>
    </row>
    <row r="905" spans="1:8" x14ac:dyDescent="0.25">
      <c r="A905">
        <v>1904</v>
      </c>
      <c r="B905" s="1">
        <v>45460</v>
      </c>
      <c r="C905" s="13" t="s">
        <v>13</v>
      </c>
      <c r="D905" s="13" t="s">
        <v>15</v>
      </c>
      <c r="E905" s="13" t="s">
        <v>21</v>
      </c>
      <c r="F905">
        <v>2</v>
      </c>
      <c r="G905">
        <v>991.27</v>
      </c>
      <c r="H905">
        <v>1982.54</v>
      </c>
    </row>
    <row r="906" spans="1:8" x14ac:dyDescent="0.25">
      <c r="A906">
        <v>1905</v>
      </c>
      <c r="B906" s="1">
        <v>45651</v>
      </c>
      <c r="C906" s="13" t="s">
        <v>11</v>
      </c>
      <c r="D906" s="13" t="s">
        <v>15</v>
      </c>
      <c r="E906" s="13" t="s">
        <v>14</v>
      </c>
      <c r="F906">
        <v>12</v>
      </c>
      <c r="G906">
        <v>346.42</v>
      </c>
      <c r="H906">
        <v>4157.04</v>
      </c>
    </row>
    <row r="907" spans="1:8" x14ac:dyDescent="0.25">
      <c r="A907">
        <v>1906</v>
      </c>
      <c r="B907" s="1">
        <v>45505</v>
      </c>
      <c r="C907" s="13" t="s">
        <v>11</v>
      </c>
      <c r="D907" s="13" t="s">
        <v>18</v>
      </c>
      <c r="E907" s="13" t="s">
        <v>10</v>
      </c>
      <c r="F907">
        <v>10</v>
      </c>
      <c r="G907">
        <v>577.07000000000005</v>
      </c>
      <c r="H907">
        <v>5770.7000000000007</v>
      </c>
    </row>
    <row r="908" spans="1:8" x14ac:dyDescent="0.25">
      <c r="A908">
        <v>1907</v>
      </c>
      <c r="B908" s="1">
        <v>45410</v>
      </c>
      <c r="C908" s="13" t="s">
        <v>13</v>
      </c>
      <c r="D908" s="13" t="s">
        <v>9</v>
      </c>
      <c r="E908" s="13" t="s">
        <v>14</v>
      </c>
      <c r="F908">
        <v>12</v>
      </c>
      <c r="G908">
        <v>624.91999999999996</v>
      </c>
      <c r="H908">
        <v>7499.0399999999991</v>
      </c>
    </row>
    <row r="909" spans="1:8" x14ac:dyDescent="0.25">
      <c r="A909">
        <v>1908</v>
      </c>
      <c r="B909" s="1">
        <v>45337</v>
      </c>
      <c r="C909" s="13" t="s">
        <v>11</v>
      </c>
      <c r="D909" s="13" t="s">
        <v>9</v>
      </c>
      <c r="E909" s="13" t="s">
        <v>21</v>
      </c>
      <c r="F909">
        <v>11</v>
      </c>
      <c r="G909">
        <v>282.47000000000003</v>
      </c>
      <c r="H909">
        <v>3107.17</v>
      </c>
    </row>
    <row r="910" spans="1:8" x14ac:dyDescent="0.25">
      <c r="A910">
        <v>1909</v>
      </c>
      <c r="B910" s="1">
        <v>45611</v>
      </c>
      <c r="C910" s="13" t="s">
        <v>17</v>
      </c>
      <c r="D910" s="13" t="s">
        <v>9</v>
      </c>
      <c r="E910" s="13" t="s">
        <v>21</v>
      </c>
      <c r="F910">
        <v>13</v>
      </c>
      <c r="G910">
        <v>1420.63</v>
      </c>
      <c r="H910">
        <v>18468.189999999999</v>
      </c>
    </row>
    <row r="911" spans="1:8" x14ac:dyDescent="0.25">
      <c r="A911">
        <v>1910</v>
      </c>
      <c r="B911" s="1">
        <v>45443</v>
      </c>
      <c r="C911" s="13" t="s">
        <v>19</v>
      </c>
      <c r="D911" s="13" t="s">
        <v>9</v>
      </c>
      <c r="E911" s="13" t="s">
        <v>21</v>
      </c>
      <c r="F911">
        <v>14</v>
      </c>
      <c r="G911">
        <v>917.42</v>
      </c>
      <c r="H911">
        <v>12843.88</v>
      </c>
    </row>
    <row r="912" spans="1:8" x14ac:dyDescent="0.25">
      <c r="A912">
        <v>1911</v>
      </c>
      <c r="B912" s="1">
        <v>45635</v>
      </c>
      <c r="C912" s="13" t="s">
        <v>19</v>
      </c>
      <c r="D912" s="13" t="s">
        <v>9</v>
      </c>
      <c r="E912" s="13" t="s">
        <v>14</v>
      </c>
      <c r="F912">
        <v>1</v>
      </c>
      <c r="G912">
        <v>316.24</v>
      </c>
      <c r="H912">
        <v>316.24</v>
      </c>
    </row>
    <row r="913" spans="1:8" x14ac:dyDescent="0.25">
      <c r="A913">
        <v>1912</v>
      </c>
      <c r="B913" s="1">
        <v>45543</v>
      </c>
      <c r="C913" s="13" t="s">
        <v>13</v>
      </c>
      <c r="D913" s="13" t="s">
        <v>20</v>
      </c>
      <c r="E913" s="13" t="s">
        <v>21</v>
      </c>
      <c r="F913">
        <v>18</v>
      </c>
      <c r="G913">
        <v>643.13</v>
      </c>
      <c r="H913">
        <v>11576.34</v>
      </c>
    </row>
    <row r="914" spans="1:8" x14ac:dyDescent="0.25">
      <c r="A914">
        <v>1913</v>
      </c>
      <c r="B914" s="1">
        <v>45396</v>
      </c>
      <c r="C914" s="13" t="s">
        <v>8</v>
      </c>
      <c r="D914" s="13" t="s">
        <v>15</v>
      </c>
      <c r="E914" s="13" t="s">
        <v>10</v>
      </c>
      <c r="F914">
        <v>1</v>
      </c>
      <c r="G914">
        <v>1042.3800000000001</v>
      </c>
      <c r="H914">
        <v>1042.3800000000001</v>
      </c>
    </row>
    <row r="915" spans="1:8" x14ac:dyDescent="0.25">
      <c r="A915">
        <v>1914</v>
      </c>
      <c r="B915" s="1">
        <v>45413</v>
      </c>
      <c r="C915" s="13" t="s">
        <v>11</v>
      </c>
      <c r="D915" s="13" t="s">
        <v>20</v>
      </c>
      <c r="E915" s="13" t="s">
        <v>16</v>
      </c>
      <c r="F915">
        <v>16</v>
      </c>
      <c r="G915">
        <v>1395.52</v>
      </c>
      <c r="H915">
        <v>22328.32</v>
      </c>
    </row>
    <row r="916" spans="1:8" x14ac:dyDescent="0.25">
      <c r="A916">
        <v>1915</v>
      </c>
      <c r="B916" s="1">
        <v>45357</v>
      </c>
      <c r="C916" s="13" t="s">
        <v>8</v>
      </c>
      <c r="D916" s="13" t="s">
        <v>15</v>
      </c>
      <c r="E916" s="13" t="s">
        <v>21</v>
      </c>
      <c r="F916">
        <v>19</v>
      </c>
      <c r="G916">
        <v>689.5</v>
      </c>
      <c r="H916">
        <v>13100.5</v>
      </c>
    </row>
    <row r="917" spans="1:8" x14ac:dyDescent="0.25">
      <c r="A917">
        <v>1916</v>
      </c>
      <c r="B917" s="1">
        <v>45603</v>
      </c>
      <c r="C917" s="13" t="s">
        <v>13</v>
      </c>
      <c r="D917" s="13" t="s">
        <v>18</v>
      </c>
      <c r="E917" s="13" t="s">
        <v>12</v>
      </c>
      <c r="F917">
        <v>7</v>
      </c>
      <c r="G917">
        <v>548.97</v>
      </c>
      <c r="H917">
        <v>3842.79</v>
      </c>
    </row>
    <row r="918" spans="1:8" x14ac:dyDescent="0.25">
      <c r="A918">
        <v>1917</v>
      </c>
      <c r="B918" s="1">
        <v>45526</v>
      </c>
      <c r="C918" s="13" t="s">
        <v>19</v>
      </c>
      <c r="D918" s="13" t="s">
        <v>15</v>
      </c>
      <c r="E918" s="13" t="s">
        <v>10</v>
      </c>
      <c r="F918">
        <v>8</v>
      </c>
      <c r="G918">
        <v>539.66</v>
      </c>
      <c r="H918">
        <v>4317.28</v>
      </c>
    </row>
    <row r="919" spans="1:8" x14ac:dyDescent="0.25">
      <c r="A919">
        <v>1918</v>
      </c>
      <c r="B919" s="1">
        <v>45401</v>
      </c>
      <c r="C919" s="13" t="s">
        <v>17</v>
      </c>
      <c r="D919" s="13" t="s">
        <v>20</v>
      </c>
      <c r="E919" s="13" t="s">
        <v>21</v>
      </c>
      <c r="F919">
        <v>19</v>
      </c>
      <c r="G919">
        <v>553.09</v>
      </c>
      <c r="H919">
        <v>10508.71</v>
      </c>
    </row>
    <row r="920" spans="1:8" x14ac:dyDescent="0.25">
      <c r="A920">
        <v>1919</v>
      </c>
      <c r="B920" s="1">
        <v>45623</v>
      </c>
      <c r="C920" s="13" t="s">
        <v>17</v>
      </c>
      <c r="D920" s="13" t="s">
        <v>18</v>
      </c>
      <c r="E920" s="13" t="s">
        <v>21</v>
      </c>
      <c r="F920">
        <v>15</v>
      </c>
      <c r="G920">
        <v>255.97</v>
      </c>
      <c r="H920">
        <v>3839.55</v>
      </c>
    </row>
    <row r="921" spans="1:8" x14ac:dyDescent="0.25">
      <c r="A921">
        <v>1920</v>
      </c>
      <c r="B921" s="1">
        <v>45653</v>
      </c>
      <c r="C921" s="13" t="s">
        <v>19</v>
      </c>
      <c r="D921" s="13" t="s">
        <v>15</v>
      </c>
      <c r="E921" s="13" t="s">
        <v>16</v>
      </c>
      <c r="F921">
        <v>1</v>
      </c>
      <c r="G921">
        <v>457.44</v>
      </c>
      <c r="H921">
        <v>457.44</v>
      </c>
    </row>
    <row r="922" spans="1:8" x14ac:dyDescent="0.25">
      <c r="A922">
        <v>1921</v>
      </c>
      <c r="B922" s="1">
        <v>45299</v>
      </c>
      <c r="C922" s="13" t="s">
        <v>11</v>
      </c>
      <c r="D922" s="13" t="s">
        <v>20</v>
      </c>
      <c r="E922" s="13" t="s">
        <v>12</v>
      </c>
      <c r="F922">
        <v>2</v>
      </c>
      <c r="G922">
        <v>536.54</v>
      </c>
      <c r="H922">
        <v>1073.08</v>
      </c>
    </row>
    <row r="923" spans="1:8" x14ac:dyDescent="0.25">
      <c r="A923">
        <v>1922</v>
      </c>
      <c r="B923" s="1">
        <v>45407</v>
      </c>
      <c r="C923" s="13" t="s">
        <v>13</v>
      </c>
      <c r="D923" s="13" t="s">
        <v>20</v>
      </c>
      <c r="E923" s="13" t="s">
        <v>16</v>
      </c>
      <c r="F923">
        <v>5</v>
      </c>
      <c r="G923">
        <v>192.05</v>
      </c>
      <c r="H923">
        <v>960.25</v>
      </c>
    </row>
    <row r="924" spans="1:8" x14ac:dyDescent="0.25">
      <c r="A924">
        <v>1923</v>
      </c>
      <c r="B924" s="1">
        <v>45346</v>
      </c>
      <c r="C924" s="13" t="s">
        <v>11</v>
      </c>
      <c r="D924" s="13" t="s">
        <v>9</v>
      </c>
      <c r="E924" s="13" t="s">
        <v>21</v>
      </c>
      <c r="F924">
        <v>2</v>
      </c>
      <c r="G924">
        <v>935.93</v>
      </c>
      <c r="H924">
        <v>1871.86</v>
      </c>
    </row>
    <row r="925" spans="1:8" x14ac:dyDescent="0.25">
      <c r="A925">
        <v>1924</v>
      </c>
      <c r="B925" s="1">
        <v>45349</v>
      </c>
      <c r="C925" s="13" t="s">
        <v>8</v>
      </c>
      <c r="D925" s="13" t="s">
        <v>15</v>
      </c>
      <c r="E925" s="13" t="s">
        <v>12</v>
      </c>
      <c r="F925">
        <v>8</v>
      </c>
      <c r="G925">
        <v>644.61</v>
      </c>
      <c r="H925">
        <v>5156.88</v>
      </c>
    </row>
    <row r="926" spans="1:8" x14ac:dyDescent="0.25">
      <c r="A926">
        <v>1925</v>
      </c>
      <c r="B926" s="1">
        <v>45403</v>
      </c>
      <c r="C926" s="13" t="s">
        <v>17</v>
      </c>
      <c r="D926" s="13" t="s">
        <v>9</v>
      </c>
      <c r="E926" s="13" t="s">
        <v>10</v>
      </c>
      <c r="F926">
        <v>8</v>
      </c>
      <c r="G926">
        <v>942.97</v>
      </c>
      <c r="H926">
        <v>7543.76</v>
      </c>
    </row>
    <row r="927" spans="1:8" x14ac:dyDescent="0.25">
      <c r="A927">
        <v>1926</v>
      </c>
      <c r="B927" s="1">
        <v>45495</v>
      </c>
      <c r="C927" s="13" t="s">
        <v>13</v>
      </c>
      <c r="D927" s="13" t="s">
        <v>15</v>
      </c>
      <c r="E927" s="13" t="s">
        <v>10</v>
      </c>
      <c r="F927">
        <v>15</v>
      </c>
      <c r="G927">
        <v>709.91</v>
      </c>
      <c r="H927">
        <v>10648.65</v>
      </c>
    </row>
    <row r="928" spans="1:8" x14ac:dyDescent="0.25">
      <c r="A928">
        <v>1927</v>
      </c>
      <c r="B928" s="1">
        <v>45642</v>
      </c>
      <c r="C928" s="13" t="s">
        <v>13</v>
      </c>
      <c r="D928" s="13" t="s">
        <v>18</v>
      </c>
      <c r="E928" s="13" t="s">
        <v>16</v>
      </c>
      <c r="F928">
        <v>7</v>
      </c>
      <c r="G928">
        <v>544.70000000000005</v>
      </c>
      <c r="H928">
        <v>3812.900000000001</v>
      </c>
    </row>
    <row r="929" spans="1:8" x14ac:dyDescent="0.25">
      <c r="A929">
        <v>1928</v>
      </c>
      <c r="B929" s="1">
        <v>45329</v>
      </c>
      <c r="C929" s="13" t="s">
        <v>17</v>
      </c>
      <c r="D929" s="13" t="s">
        <v>15</v>
      </c>
      <c r="E929" s="13" t="s">
        <v>21</v>
      </c>
      <c r="F929">
        <v>6</v>
      </c>
      <c r="G929">
        <v>1412.72</v>
      </c>
      <c r="H929">
        <v>8476.32</v>
      </c>
    </row>
    <row r="930" spans="1:8" x14ac:dyDescent="0.25">
      <c r="A930">
        <v>1929</v>
      </c>
      <c r="B930" s="1">
        <v>45654</v>
      </c>
      <c r="C930" s="13" t="s">
        <v>11</v>
      </c>
      <c r="D930" s="13" t="s">
        <v>20</v>
      </c>
      <c r="E930" s="13" t="s">
        <v>12</v>
      </c>
      <c r="F930">
        <v>5</v>
      </c>
      <c r="G930">
        <v>457.07</v>
      </c>
      <c r="H930">
        <v>2285.35</v>
      </c>
    </row>
    <row r="931" spans="1:8" x14ac:dyDescent="0.25">
      <c r="A931">
        <v>1930</v>
      </c>
      <c r="B931" s="1">
        <v>45351</v>
      </c>
      <c r="C931" s="13" t="s">
        <v>17</v>
      </c>
      <c r="D931" s="13" t="s">
        <v>18</v>
      </c>
      <c r="E931" s="13" t="s">
        <v>10</v>
      </c>
      <c r="F931">
        <v>14</v>
      </c>
      <c r="G931">
        <v>694.06</v>
      </c>
      <c r="H931">
        <v>9716.84</v>
      </c>
    </row>
    <row r="932" spans="1:8" x14ac:dyDescent="0.25">
      <c r="A932">
        <v>1931</v>
      </c>
      <c r="B932" s="1">
        <v>45321</v>
      </c>
      <c r="C932" s="13" t="s">
        <v>11</v>
      </c>
      <c r="D932" s="13" t="s">
        <v>20</v>
      </c>
      <c r="E932" s="13" t="s">
        <v>10</v>
      </c>
      <c r="F932">
        <v>10</v>
      </c>
      <c r="G932">
        <v>580.17999999999995</v>
      </c>
      <c r="H932">
        <v>5801.7999999999993</v>
      </c>
    </row>
    <row r="933" spans="1:8" x14ac:dyDescent="0.25">
      <c r="A933">
        <v>1932</v>
      </c>
      <c r="B933" s="1">
        <v>45384</v>
      </c>
      <c r="C933" s="13" t="s">
        <v>11</v>
      </c>
      <c r="D933" s="13" t="s">
        <v>9</v>
      </c>
      <c r="E933" s="13" t="s">
        <v>16</v>
      </c>
      <c r="F933">
        <v>9</v>
      </c>
      <c r="G933">
        <v>943.18</v>
      </c>
      <c r="H933">
        <v>8488.619999999999</v>
      </c>
    </row>
    <row r="934" spans="1:8" x14ac:dyDescent="0.25">
      <c r="A934">
        <v>1933</v>
      </c>
      <c r="B934" s="1">
        <v>45464</v>
      </c>
      <c r="C934" s="13" t="s">
        <v>8</v>
      </c>
      <c r="D934" s="13" t="s">
        <v>9</v>
      </c>
      <c r="E934" s="13" t="s">
        <v>16</v>
      </c>
      <c r="F934">
        <v>3</v>
      </c>
      <c r="G934">
        <v>1471.26</v>
      </c>
      <c r="H934">
        <v>4413.78</v>
      </c>
    </row>
    <row r="935" spans="1:8" x14ac:dyDescent="0.25">
      <c r="A935">
        <v>1934</v>
      </c>
      <c r="B935" s="1">
        <v>45330</v>
      </c>
      <c r="C935" s="13" t="s">
        <v>8</v>
      </c>
      <c r="D935" s="13" t="s">
        <v>9</v>
      </c>
      <c r="E935" s="13" t="s">
        <v>14</v>
      </c>
      <c r="F935">
        <v>2</v>
      </c>
      <c r="G935">
        <v>740.35</v>
      </c>
      <c r="H935">
        <v>1480.7</v>
      </c>
    </row>
    <row r="936" spans="1:8" x14ac:dyDescent="0.25">
      <c r="A936">
        <v>1935</v>
      </c>
      <c r="B936" s="1">
        <v>45426</v>
      </c>
      <c r="C936" s="13" t="s">
        <v>8</v>
      </c>
      <c r="D936" s="13" t="s">
        <v>9</v>
      </c>
      <c r="E936" s="13" t="s">
        <v>10</v>
      </c>
      <c r="F936">
        <v>17</v>
      </c>
      <c r="G936">
        <v>1123.18</v>
      </c>
      <c r="H936">
        <v>19094.060000000001</v>
      </c>
    </row>
    <row r="937" spans="1:8" x14ac:dyDescent="0.25">
      <c r="A937">
        <v>1936</v>
      </c>
      <c r="B937" s="1">
        <v>45551</v>
      </c>
      <c r="C937" s="13" t="s">
        <v>11</v>
      </c>
      <c r="D937" s="13" t="s">
        <v>9</v>
      </c>
      <c r="E937" s="13" t="s">
        <v>21</v>
      </c>
      <c r="F937">
        <v>11</v>
      </c>
      <c r="G937">
        <v>1284.8499999999999</v>
      </c>
      <c r="H937">
        <v>14133.35</v>
      </c>
    </row>
    <row r="938" spans="1:8" x14ac:dyDescent="0.25">
      <c r="A938">
        <v>1937</v>
      </c>
      <c r="B938" s="1">
        <v>45300</v>
      </c>
      <c r="C938" s="13" t="s">
        <v>19</v>
      </c>
      <c r="D938" s="13" t="s">
        <v>9</v>
      </c>
      <c r="E938" s="13" t="s">
        <v>14</v>
      </c>
      <c r="F938">
        <v>15</v>
      </c>
      <c r="G938">
        <v>1160.49</v>
      </c>
      <c r="H938">
        <v>17407.349999999999</v>
      </c>
    </row>
    <row r="939" spans="1:8" x14ac:dyDescent="0.25">
      <c r="A939">
        <v>1938</v>
      </c>
      <c r="B939" s="1">
        <v>45561</v>
      </c>
      <c r="C939" s="13" t="s">
        <v>17</v>
      </c>
      <c r="D939" s="13" t="s">
        <v>20</v>
      </c>
      <c r="E939" s="13" t="s">
        <v>14</v>
      </c>
      <c r="F939">
        <v>16</v>
      </c>
      <c r="G939">
        <v>532.51</v>
      </c>
      <c r="H939">
        <v>8520.16</v>
      </c>
    </row>
    <row r="940" spans="1:8" x14ac:dyDescent="0.25">
      <c r="A940">
        <v>1939</v>
      </c>
      <c r="B940" s="1">
        <v>45646</v>
      </c>
      <c r="C940" s="13" t="s">
        <v>13</v>
      </c>
      <c r="D940" s="13" t="s">
        <v>15</v>
      </c>
      <c r="E940" s="13" t="s">
        <v>12</v>
      </c>
      <c r="F940">
        <v>13</v>
      </c>
      <c r="G940">
        <v>798.78</v>
      </c>
      <c r="H940">
        <v>10384.14</v>
      </c>
    </row>
    <row r="941" spans="1:8" x14ac:dyDescent="0.25">
      <c r="A941">
        <v>1940</v>
      </c>
      <c r="B941" s="1">
        <v>45365</v>
      </c>
      <c r="C941" s="13" t="s">
        <v>8</v>
      </c>
      <c r="D941" s="13" t="s">
        <v>15</v>
      </c>
      <c r="E941" s="13" t="s">
        <v>16</v>
      </c>
      <c r="F941">
        <v>1</v>
      </c>
      <c r="G941">
        <v>592.12</v>
      </c>
      <c r="H941">
        <v>592.12</v>
      </c>
    </row>
    <row r="942" spans="1:8" x14ac:dyDescent="0.25">
      <c r="A942">
        <v>1941</v>
      </c>
      <c r="B942" s="1">
        <v>45425</v>
      </c>
      <c r="C942" s="13" t="s">
        <v>19</v>
      </c>
      <c r="D942" s="13" t="s">
        <v>15</v>
      </c>
      <c r="E942" s="13" t="s">
        <v>21</v>
      </c>
      <c r="F942">
        <v>12</v>
      </c>
      <c r="G942">
        <v>1283.69</v>
      </c>
      <c r="H942">
        <v>15404.28</v>
      </c>
    </row>
    <row r="943" spans="1:8" x14ac:dyDescent="0.25">
      <c r="A943">
        <v>1942</v>
      </c>
      <c r="B943" s="1">
        <v>45586</v>
      </c>
      <c r="C943" s="13" t="s">
        <v>8</v>
      </c>
      <c r="D943" s="13" t="s">
        <v>15</v>
      </c>
      <c r="E943" s="13" t="s">
        <v>21</v>
      </c>
      <c r="F943">
        <v>19</v>
      </c>
      <c r="G943">
        <v>1317.94</v>
      </c>
      <c r="H943">
        <v>25040.86</v>
      </c>
    </row>
    <row r="944" spans="1:8" x14ac:dyDescent="0.25">
      <c r="A944">
        <v>1943</v>
      </c>
      <c r="B944" s="1">
        <v>45301</v>
      </c>
      <c r="C944" s="13" t="s">
        <v>17</v>
      </c>
      <c r="D944" s="13" t="s">
        <v>18</v>
      </c>
      <c r="E944" s="13" t="s">
        <v>16</v>
      </c>
      <c r="F944">
        <v>8</v>
      </c>
      <c r="G944">
        <v>888.65</v>
      </c>
      <c r="H944">
        <v>7109.2</v>
      </c>
    </row>
    <row r="945" spans="1:8" x14ac:dyDescent="0.25">
      <c r="A945">
        <v>1944</v>
      </c>
      <c r="B945" s="1">
        <v>45477</v>
      </c>
      <c r="C945" s="13" t="s">
        <v>13</v>
      </c>
      <c r="D945" s="13" t="s">
        <v>9</v>
      </c>
      <c r="E945" s="13" t="s">
        <v>21</v>
      </c>
      <c r="F945">
        <v>6</v>
      </c>
      <c r="G945">
        <v>807.85</v>
      </c>
      <c r="H945">
        <v>4847.1000000000004</v>
      </c>
    </row>
    <row r="946" spans="1:8" x14ac:dyDescent="0.25">
      <c r="A946">
        <v>1945</v>
      </c>
      <c r="B946" s="1">
        <v>45557</v>
      </c>
      <c r="C946" s="13" t="s">
        <v>13</v>
      </c>
      <c r="D946" s="13" t="s">
        <v>18</v>
      </c>
      <c r="E946" s="13" t="s">
        <v>21</v>
      </c>
      <c r="F946">
        <v>11</v>
      </c>
      <c r="G946">
        <v>1466.69</v>
      </c>
      <c r="H946">
        <v>16133.59</v>
      </c>
    </row>
    <row r="947" spans="1:8" x14ac:dyDescent="0.25">
      <c r="A947">
        <v>1946</v>
      </c>
      <c r="B947" s="1">
        <v>45568</v>
      </c>
      <c r="C947" s="13" t="s">
        <v>13</v>
      </c>
      <c r="D947" s="13" t="s">
        <v>18</v>
      </c>
      <c r="E947" s="13" t="s">
        <v>12</v>
      </c>
      <c r="F947">
        <v>8</v>
      </c>
      <c r="G947">
        <v>279.66000000000003</v>
      </c>
      <c r="H947">
        <v>2237.2800000000002</v>
      </c>
    </row>
    <row r="948" spans="1:8" x14ac:dyDescent="0.25">
      <c r="A948">
        <v>1947</v>
      </c>
      <c r="B948" s="1">
        <v>45401</v>
      </c>
      <c r="C948" s="13" t="s">
        <v>19</v>
      </c>
      <c r="D948" s="13" t="s">
        <v>20</v>
      </c>
      <c r="E948" s="13" t="s">
        <v>21</v>
      </c>
      <c r="F948">
        <v>6</v>
      </c>
      <c r="G948">
        <v>532.4</v>
      </c>
      <c r="H948">
        <v>3194.4</v>
      </c>
    </row>
    <row r="949" spans="1:8" x14ac:dyDescent="0.25">
      <c r="A949">
        <v>1948</v>
      </c>
      <c r="B949" s="1">
        <v>45644</v>
      </c>
      <c r="C949" s="13" t="s">
        <v>19</v>
      </c>
      <c r="D949" s="13" t="s">
        <v>15</v>
      </c>
      <c r="E949" s="13" t="s">
        <v>10</v>
      </c>
      <c r="F949">
        <v>11</v>
      </c>
      <c r="G949">
        <v>803.04</v>
      </c>
      <c r="H949">
        <v>8833.4399999999987</v>
      </c>
    </row>
    <row r="950" spans="1:8" x14ac:dyDescent="0.25">
      <c r="A950">
        <v>1949</v>
      </c>
      <c r="B950" s="1">
        <v>45545</v>
      </c>
      <c r="C950" s="13" t="s">
        <v>8</v>
      </c>
      <c r="D950" s="13" t="s">
        <v>20</v>
      </c>
      <c r="E950" s="13" t="s">
        <v>12</v>
      </c>
      <c r="F950">
        <v>13</v>
      </c>
      <c r="G950">
        <v>1026.1199999999999</v>
      </c>
      <c r="H950">
        <v>13339.56</v>
      </c>
    </row>
    <row r="951" spans="1:8" x14ac:dyDescent="0.25">
      <c r="A951">
        <v>1950</v>
      </c>
      <c r="B951" s="1">
        <v>45494</v>
      </c>
      <c r="C951" s="13" t="s">
        <v>17</v>
      </c>
      <c r="D951" s="13" t="s">
        <v>15</v>
      </c>
      <c r="E951" s="13" t="s">
        <v>10</v>
      </c>
      <c r="F951">
        <v>19</v>
      </c>
      <c r="G951">
        <v>426.07</v>
      </c>
      <c r="H951">
        <v>8095.33</v>
      </c>
    </row>
    <row r="952" spans="1:8" x14ac:dyDescent="0.25">
      <c r="A952">
        <v>1951</v>
      </c>
      <c r="B952" s="1">
        <v>45333</v>
      </c>
      <c r="C952" s="13" t="s">
        <v>17</v>
      </c>
      <c r="D952" s="13" t="s">
        <v>20</v>
      </c>
      <c r="E952" s="13" t="s">
        <v>21</v>
      </c>
      <c r="F952">
        <v>10</v>
      </c>
      <c r="G952">
        <v>1370.19</v>
      </c>
      <c r="H952">
        <v>13701.9</v>
      </c>
    </row>
    <row r="953" spans="1:8" x14ac:dyDescent="0.25">
      <c r="A953">
        <v>1952</v>
      </c>
      <c r="B953" s="1">
        <v>45377</v>
      </c>
      <c r="C953" s="13" t="s">
        <v>11</v>
      </c>
      <c r="D953" s="13" t="s">
        <v>18</v>
      </c>
      <c r="E953" s="13" t="s">
        <v>10</v>
      </c>
      <c r="F953">
        <v>8</v>
      </c>
      <c r="G953">
        <v>1081.1099999999999</v>
      </c>
      <c r="H953">
        <v>8648.8799999999992</v>
      </c>
    </row>
    <row r="954" spans="1:8" x14ac:dyDescent="0.25">
      <c r="A954">
        <v>1953</v>
      </c>
      <c r="B954" s="1">
        <v>45482</v>
      </c>
      <c r="C954" s="13" t="s">
        <v>17</v>
      </c>
      <c r="D954" s="13" t="s">
        <v>15</v>
      </c>
      <c r="E954" s="13" t="s">
        <v>14</v>
      </c>
      <c r="F954">
        <v>19</v>
      </c>
      <c r="G954">
        <v>1128.8499999999999</v>
      </c>
      <c r="H954">
        <v>21448.15</v>
      </c>
    </row>
    <row r="955" spans="1:8" x14ac:dyDescent="0.25">
      <c r="A955">
        <v>1954</v>
      </c>
      <c r="B955" s="1">
        <v>45510</v>
      </c>
      <c r="C955" s="13" t="s">
        <v>19</v>
      </c>
      <c r="D955" s="13" t="s">
        <v>9</v>
      </c>
      <c r="E955" s="13" t="s">
        <v>12</v>
      </c>
      <c r="F955">
        <v>16</v>
      </c>
      <c r="G955">
        <v>1418.07</v>
      </c>
      <c r="H955">
        <v>22689.119999999999</v>
      </c>
    </row>
    <row r="956" spans="1:8" x14ac:dyDescent="0.25">
      <c r="A956">
        <v>1955</v>
      </c>
      <c r="B956" s="1">
        <v>45594</v>
      </c>
      <c r="C956" s="13" t="s">
        <v>19</v>
      </c>
      <c r="D956" s="13" t="s">
        <v>9</v>
      </c>
      <c r="E956" s="13" t="s">
        <v>16</v>
      </c>
      <c r="F956">
        <v>7</v>
      </c>
      <c r="G956">
        <v>297.33999999999997</v>
      </c>
      <c r="H956">
        <v>2081.38</v>
      </c>
    </row>
    <row r="957" spans="1:8" x14ac:dyDescent="0.25">
      <c r="A957">
        <v>1956</v>
      </c>
      <c r="B957" s="1">
        <v>45399</v>
      </c>
      <c r="C957" s="13" t="s">
        <v>8</v>
      </c>
      <c r="D957" s="13" t="s">
        <v>15</v>
      </c>
      <c r="E957" s="13" t="s">
        <v>14</v>
      </c>
      <c r="F957">
        <v>14</v>
      </c>
      <c r="G957">
        <v>373.43</v>
      </c>
      <c r="H957">
        <v>5228.0200000000004</v>
      </c>
    </row>
    <row r="958" spans="1:8" x14ac:dyDescent="0.25">
      <c r="A958">
        <v>1957</v>
      </c>
      <c r="B958" s="1">
        <v>45554</v>
      </c>
      <c r="C958" s="13" t="s">
        <v>8</v>
      </c>
      <c r="D958" s="13" t="s">
        <v>18</v>
      </c>
      <c r="E958" s="13" t="s">
        <v>14</v>
      </c>
      <c r="F958">
        <v>13</v>
      </c>
      <c r="G958">
        <v>351.13</v>
      </c>
      <c r="H958">
        <v>4564.6899999999996</v>
      </c>
    </row>
    <row r="959" spans="1:8" x14ac:dyDescent="0.25">
      <c r="A959">
        <v>1958</v>
      </c>
      <c r="B959" s="1">
        <v>45332</v>
      </c>
      <c r="C959" s="13" t="s">
        <v>13</v>
      </c>
      <c r="D959" s="13" t="s">
        <v>18</v>
      </c>
      <c r="E959" s="13" t="s">
        <v>21</v>
      </c>
      <c r="F959">
        <v>7</v>
      </c>
      <c r="G959">
        <v>212.56</v>
      </c>
      <c r="H959">
        <v>1487.92</v>
      </c>
    </row>
    <row r="960" spans="1:8" x14ac:dyDescent="0.25">
      <c r="A960">
        <v>1959</v>
      </c>
      <c r="B960" s="1">
        <v>45398</v>
      </c>
      <c r="C960" s="13" t="s">
        <v>13</v>
      </c>
      <c r="D960" s="13" t="s">
        <v>9</v>
      </c>
      <c r="E960" s="13" t="s">
        <v>10</v>
      </c>
      <c r="F960">
        <v>16</v>
      </c>
      <c r="G960">
        <v>684.65</v>
      </c>
      <c r="H960">
        <v>10954.4</v>
      </c>
    </row>
    <row r="961" spans="1:8" x14ac:dyDescent="0.25">
      <c r="A961">
        <v>1960</v>
      </c>
      <c r="B961" s="1">
        <v>45514</v>
      </c>
      <c r="C961" s="13" t="s">
        <v>11</v>
      </c>
      <c r="D961" s="13" t="s">
        <v>15</v>
      </c>
      <c r="E961" s="13" t="s">
        <v>12</v>
      </c>
      <c r="F961">
        <v>6</v>
      </c>
      <c r="G961">
        <v>819.12</v>
      </c>
      <c r="H961">
        <v>4914.72</v>
      </c>
    </row>
    <row r="962" spans="1:8" x14ac:dyDescent="0.25">
      <c r="A962">
        <v>1961</v>
      </c>
      <c r="B962" s="1">
        <v>45408</v>
      </c>
      <c r="C962" s="13" t="s">
        <v>11</v>
      </c>
      <c r="D962" s="13" t="s">
        <v>15</v>
      </c>
      <c r="E962" s="13" t="s">
        <v>21</v>
      </c>
      <c r="F962">
        <v>1</v>
      </c>
      <c r="G962">
        <v>724.21</v>
      </c>
      <c r="H962">
        <v>724.21</v>
      </c>
    </row>
    <row r="963" spans="1:8" x14ac:dyDescent="0.25">
      <c r="A963">
        <v>1962</v>
      </c>
      <c r="B963" s="1">
        <v>45372</v>
      </c>
      <c r="C963" s="13" t="s">
        <v>11</v>
      </c>
      <c r="D963" s="13" t="s">
        <v>20</v>
      </c>
      <c r="E963" s="13" t="s">
        <v>14</v>
      </c>
      <c r="F963">
        <v>9</v>
      </c>
      <c r="G963">
        <v>273.64999999999998</v>
      </c>
      <c r="H963">
        <v>2462.85</v>
      </c>
    </row>
    <row r="964" spans="1:8" x14ac:dyDescent="0.25">
      <c r="A964">
        <v>1963</v>
      </c>
      <c r="B964" s="1">
        <v>45338</v>
      </c>
      <c r="C964" s="13" t="s">
        <v>13</v>
      </c>
      <c r="D964" s="13" t="s">
        <v>18</v>
      </c>
      <c r="E964" s="13" t="s">
        <v>21</v>
      </c>
      <c r="F964">
        <v>6</v>
      </c>
      <c r="G964">
        <v>372.25</v>
      </c>
      <c r="H964">
        <v>2233.5</v>
      </c>
    </row>
    <row r="965" spans="1:8" x14ac:dyDescent="0.25">
      <c r="A965">
        <v>1964</v>
      </c>
      <c r="B965" s="1">
        <v>45571</v>
      </c>
      <c r="C965" s="13" t="s">
        <v>13</v>
      </c>
      <c r="D965" s="13" t="s">
        <v>9</v>
      </c>
      <c r="E965" s="13" t="s">
        <v>21</v>
      </c>
      <c r="F965">
        <v>14</v>
      </c>
      <c r="G965">
        <v>1136.18</v>
      </c>
      <c r="H965">
        <v>15906.52</v>
      </c>
    </row>
    <row r="966" spans="1:8" x14ac:dyDescent="0.25">
      <c r="A966">
        <v>1965</v>
      </c>
      <c r="B966" s="1">
        <v>45510</v>
      </c>
      <c r="C966" s="13" t="s">
        <v>13</v>
      </c>
      <c r="D966" s="13" t="s">
        <v>20</v>
      </c>
      <c r="E966" s="13" t="s">
        <v>14</v>
      </c>
      <c r="F966">
        <v>16</v>
      </c>
      <c r="G966">
        <v>1217.54</v>
      </c>
      <c r="H966">
        <v>19480.64</v>
      </c>
    </row>
    <row r="967" spans="1:8" x14ac:dyDescent="0.25">
      <c r="A967">
        <v>1966</v>
      </c>
      <c r="B967" s="1">
        <v>45326</v>
      </c>
      <c r="C967" s="13" t="s">
        <v>19</v>
      </c>
      <c r="D967" s="13" t="s">
        <v>9</v>
      </c>
      <c r="E967" s="13" t="s">
        <v>14</v>
      </c>
      <c r="F967">
        <v>4</v>
      </c>
      <c r="G967">
        <v>997.58</v>
      </c>
      <c r="H967">
        <v>3990.32</v>
      </c>
    </row>
    <row r="968" spans="1:8" x14ac:dyDescent="0.25">
      <c r="A968">
        <v>1967</v>
      </c>
      <c r="B968" s="1">
        <v>45530</v>
      </c>
      <c r="C968" s="13" t="s">
        <v>11</v>
      </c>
      <c r="D968" s="13" t="s">
        <v>20</v>
      </c>
      <c r="E968" s="13" t="s">
        <v>12</v>
      </c>
      <c r="F968">
        <v>3</v>
      </c>
      <c r="G968">
        <v>612.73</v>
      </c>
      <c r="H968">
        <v>1838.19</v>
      </c>
    </row>
    <row r="969" spans="1:8" x14ac:dyDescent="0.25">
      <c r="A969">
        <v>1968</v>
      </c>
      <c r="B969" s="1">
        <v>45355</v>
      </c>
      <c r="C969" s="13" t="s">
        <v>17</v>
      </c>
      <c r="D969" s="13" t="s">
        <v>18</v>
      </c>
      <c r="E969" s="13" t="s">
        <v>14</v>
      </c>
      <c r="F969">
        <v>7</v>
      </c>
      <c r="G969">
        <v>114</v>
      </c>
      <c r="H969">
        <v>798</v>
      </c>
    </row>
    <row r="970" spans="1:8" x14ac:dyDescent="0.25">
      <c r="A970">
        <v>1969</v>
      </c>
      <c r="B970" s="1">
        <v>45470</v>
      </c>
      <c r="C970" s="13" t="s">
        <v>13</v>
      </c>
      <c r="D970" s="13" t="s">
        <v>15</v>
      </c>
      <c r="E970" s="13" t="s">
        <v>21</v>
      </c>
      <c r="F970">
        <v>19</v>
      </c>
      <c r="G970">
        <v>898.66</v>
      </c>
      <c r="H970">
        <v>17074.54</v>
      </c>
    </row>
    <row r="971" spans="1:8" x14ac:dyDescent="0.25">
      <c r="A971">
        <v>1970</v>
      </c>
      <c r="B971" s="1">
        <v>45515</v>
      </c>
      <c r="C971" s="13" t="s">
        <v>13</v>
      </c>
      <c r="D971" s="13" t="s">
        <v>9</v>
      </c>
      <c r="E971" s="13" t="s">
        <v>16</v>
      </c>
      <c r="F971">
        <v>14</v>
      </c>
      <c r="G971">
        <v>511.44</v>
      </c>
      <c r="H971">
        <v>7160.16</v>
      </c>
    </row>
    <row r="972" spans="1:8" x14ac:dyDescent="0.25">
      <c r="A972">
        <v>1971</v>
      </c>
      <c r="B972" s="1">
        <v>45643</v>
      </c>
      <c r="C972" s="13" t="s">
        <v>8</v>
      </c>
      <c r="D972" s="13" t="s">
        <v>18</v>
      </c>
      <c r="E972" s="13" t="s">
        <v>16</v>
      </c>
      <c r="F972">
        <v>7</v>
      </c>
      <c r="G972">
        <v>1157.3800000000001</v>
      </c>
      <c r="H972">
        <v>8101.6600000000008</v>
      </c>
    </row>
    <row r="973" spans="1:8" x14ac:dyDescent="0.25">
      <c r="A973">
        <v>1972</v>
      </c>
      <c r="B973" s="1">
        <v>45502</v>
      </c>
      <c r="C973" s="13" t="s">
        <v>11</v>
      </c>
      <c r="D973" s="13" t="s">
        <v>9</v>
      </c>
      <c r="E973" s="13" t="s">
        <v>12</v>
      </c>
      <c r="F973">
        <v>10</v>
      </c>
      <c r="G973">
        <v>1021.27</v>
      </c>
      <c r="H973">
        <v>10212.700000000001</v>
      </c>
    </row>
    <row r="974" spans="1:8" x14ac:dyDescent="0.25">
      <c r="A974">
        <v>1973</v>
      </c>
      <c r="B974" s="1">
        <v>45320</v>
      </c>
      <c r="C974" s="13" t="s">
        <v>13</v>
      </c>
      <c r="D974" s="13" t="s">
        <v>9</v>
      </c>
      <c r="E974" s="13" t="s">
        <v>21</v>
      </c>
      <c r="F974">
        <v>15</v>
      </c>
      <c r="G974">
        <v>636.82000000000005</v>
      </c>
      <c r="H974">
        <v>9552.3000000000011</v>
      </c>
    </row>
    <row r="975" spans="1:8" x14ac:dyDescent="0.25">
      <c r="A975">
        <v>1974</v>
      </c>
      <c r="B975" s="1">
        <v>45324</v>
      </c>
      <c r="C975" s="13" t="s">
        <v>17</v>
      </c>
      <c r="D975" s="13" t="s">
        <v>15</v>
      </c>
      <c r="E975" s="13" t="s">
        <v>14</v>
      </c>
      <c r="F975">
        <v>7</v>
      </c>
      <c r="G975">
        <v>567.14</v>
      </c>
      <c r="H975">
        <v>3969.98</v>
      </c>
    </row>
    <row r="976" spans="1:8" x14ac:dyDescent="0.25">
      <c r="A976">
        <v>1975</v>
      </c>
      <c r="B976" s="1">
        <v>45650</v>
      </c>
      <c r="C976" s="13" t="s">
        <v>8</v>
      </c>
      <c r="D976" s="13" t="s">
        <v>20</v>
      </c>
      <c r="E976" s="13" t="s">
        <v>12</v>
      </c>
      <c r="F976">
        <v>13</v>
      </c>
      <c r="G976">
        <v>520.9</v>
      </c>
      <c r="H976">
        <v>6771.7</v>
      </c>
    </row>
    <row r="977" spans="1:8" x14ac:dyDescent="0.25">
      <c r="A977">
        <v>1976</v>
      </c>
      <c r="B977" s="1">
        <v>45418</v>
      </c>
      <c r="C977" s="13" t="s">
        <v>8</v>
      </c>
      <c r="D977" s="13" t="s">
        <v>18</v>
      </c>
      <c r="E977" s="13" t="s">
        <v>16</v>
      </c>
      <c r="F977">
        <v>8</v>
      </c>
      <c r="G977">
        <v>428.45</v>
      </c>
      <c r="H977">
        <v>3427.6</v>
      </c>
    </row>
    <row r="978" spans="1:8" x14ac:dyDescent="0.25">
      <c r="A978">
        <v>1977</v>
      </c>
      <c r="B978" s="1">
        <v>45446</v>
      </c>
      <c r="C978" s="13" t="s">
        <v>17</v>
      </c>
      <c r="D978" s="13" t="s">
        <v>20</v>
      </c>
      <c r="E978" s="13" t="s">
        <v>10</v>
      </c>
      <c r="F978">
        <v>6</v>
      </c>
      <c r="G978">
        <v>864.93</v>
      </c>
      <c r="H978">
        <v>5189.58</v>
      </c>
    </row>
    <row r="979" spans="1:8" x14ac:dyDescent="0.25">
      <c r="A979">
        <v>1978</v>
      </c>
      <c r="B979" s="1">
        <v>45386</v>
      </c>
      <c r="C979" s="13" t="s">
        <v>17</v>
      </c>
      <c r="D979" s="13" t="s">
        <v>20</v>
      </c>
      <c r="E979" s="13" t="s">
        <v>21</v>
      </c>
      <c r="F979">
        <v>14</v>
      </c>
      <c r="G979">
        <v>449.51</v>
      </c>
      <c r="H979">
        <v>6293.1399999999994</v>
      </c>
    </row>
    <row r="980" spans="1:8" x14ac:dyDescent="0.25">
      <c r="A980">
        <v>1979</v>
      </c>
      <c r="B980" s="1">
        <v>45384</v>
      </c>
      <c r="C980" s="13" t="s">
        <v>11</v>
      </c>
      <c r="D980" s="13" t="s">
        <v>15</v>
      </c>
      <c r="E980" s="13" t="s">
        <v>21</v>
      </c>
      <c r="F980">
        <v>7</v>
      </c>
      <c r="G980">
        <v>332.28</v>
      </c>
      <c r="H980">
        <v>2325.96</v>
      </c>
    </row>
    <row r="981" spans="1:8" x14ac:dyDescent="0.25">
      <c r="A981">
        <v>1980</v>
      </c>
      <c r="B981" s="1">
        <v>45639</v>
      </c>
      <c r="C981" s="13" t="s">
        <v>8</v>
      </c>
      <c r="D981" s="13" t="s">
        <v>20</v>
      </c>
      <c r="E981" s="13" t="s">
        <v>16</v>
      </c>
      <c r="F981">
        <v>8</v>
      </c>
      <c r="G981">
        <v>1000.21</v>
      </c>
      <c r="H981">
        <v>8001.68</v>
      </c>
    </row>
    <row r="982" spans="1:8" x14ac:dyDescent="0.25">
      <c r="A982">
        <v>1981</v>
      </c>
      <c r="B982" s="1">
        <v>45466</v>
      </c>
      <c r="C982" s="13" t="s">
        <v>11</v>
      </c>
      <c r="D982" s="13" t="s">
        <v>20</v>
      </c>
      <c r="E982" s="13" t="s">
        <v>16</v>
      </c>
      <c r="F982">
        <v>16</v>
      </c>
      <c r="G982">
        <v>1164.6199999999999</v>
      </c>
      <c r="H982">
        <v>18633.919999999998</v>
      </c>
    </row>
    <row r="983" spans="1:8" x14ac:dyDescent="0.25">
      <c r="A983">
        <v>1982</v>
      </c>
      <c r="B983" s="1">
        <v>45417</v>
      </c>
      <c r="C983" s="13" t="s">
        <v>17</v>
      </c>
      <c r="D983" s="13" t="s">
        <v>18</v>
      </c>
      <c r="E983" s="13" t="s">
        <v>21</v>
      </c>
      <c r="F983">
        <v>5</v>
      </c>
      <c r="G983">
        <v>1053.27</v>
      </c>
      <c r="H983">
        <v>5266.35</v>
      </c>
    </row>
    <row r="984" spans="1:8" x14ac:dyDescent="0.25">
      <c r="A984">
        <v>1983</v>
      </c>
      <c r="B984" s="1">
        <v>45640</v>
      </c>
      <c r="C984" s="13" t="s">
        <v>13</v>
      </c>
      <c r="D984" s="13" t="s">
        <v>18</v>
      </c>
      <c r="E984" s="13" t="s">
        <v>14</v>
      </c>
      <c r="F984">
        <v>7</v>
      </c>
      <c r="G984">
        <v>1305.1500000000001</v>
      </c>
      <c r="H984">
        <v>9136.0500000000011</v>
      </c>
    </row>
    <row r="985" spans="1:8" x14ac:dyDescent="0.25">
      <c r="A985">
        <v>1984</v>
      </c>
      <c r="B985" s="1">
        <v>45338</v>
      </c>
      <c r="C985" s="13" t="s">
        <v>13</v>
      </c>
      <c r="D985" s="13" t="s">
        <v>9</v>
      </c>
      <c r="E985" s="13" t="s">
        <v>12</v>
      </c>
      <c r="F985">
        <v>6</v>
      </c>
      <c r="G985">
        <v>1348.02</v>
      </c>
      <c r="H985">
        <v>8088.12</v>
      </c>
    </row>
    <row r="986" spans="1:8" x14ac:dyDescent="0.25">
      <c r="A986">
        <v>1985</v>
      </c>
      <c r="B986" s="1">
        <v>45422</v>
      </c>
      <c r="C986" s="13" t="s">
        <v>17</v>
      </c>
      <c r="D986" s="13" t="s">
        <v>15</v>
      </c>
      <c r="E986" s="13" t="s">
        <v>10</v>
      </c>
      <c r="F986">
        <v>6</v>
      </c>
      <c r="G986">
        <v>560.83000000000004</v>
      </c>
      <c r="H986">
        <v>3364.98</v>
      </c>
    </row>
    <row r="987" spans="1:8" x14ac:dyDescent="0.25">
      <c r="A987">
        <v>1986</v>
      </c>
      <c r="B987" s="1">
        <v>45559</v>
      </c>
      <c r="C987" s="13" t="s">
        <v>8</v>
      </c>
      <c r="D987" s="13" t="s">
        <v>18</v>
      </c>
      <c r="E987" s="13" t="s">
        <v>21</v>
      </c>
      <c r="F987">
        <v>5</v>
      </c>
      <c r="G987">
        <v>536.6</v>
      </c>
      <c r="H987">
        <v>2683</v>
      </c>
    </row>
    <row r="988" spans="1:8" x14ac:dyDescent="0.25">
      <c r="A988">
        <v>1987</v>
      </c>
      <c r="B988" s="1">
        <v>45624</v>
      </c>
      <c r="C988" s="13" t="s">
        <v>17</v>
      </c>
      <c r="D988" s="13" t="s">
        <v>9</v>
      </c>
      <c r="E988" s="13" t="s">
        <v>21</v>
      </c>
      <c r="F988">
        <v>4</v>
      </c>
      <c r="G988">
        <v>804.43</v>
      </c>
      <c r="H988">
        <v>3217.72</v>
      </c>
    </row>
    <row r="989" spans="1:8" x14ac:dyDescent="0.25">
      <c r="A989">
        <v>1988</v>
      </c>
      <c r="B989" s="1">
        <v>45528</v>
      </c>
      <c r="C989" s="13" t="s">
        <v>17</v>
      </c>
      <c r="D989" s="13" t="s">
        <v>9</v>
      </c>
      <c r="E989" s="13" t="s">
        <v>10</v>
      </c>
      <c r="F989">
        <v>16</v>
      </c>
      <c r="G989">
        <v>645.03</v>
      </c>
      <c r="H989">
        <v>10320.48</v>
      </c>
    </row>
    <row r="990" spans="1:8" x14ac:dyDescent="0.25">
      <c r="A990">
        <v>1989</v>
      </c>
      <c r="B990" s="1">
        <v>45330</v>
      </c>
      <c r="C990" s="13" t="s">
        <v>17</v>
      </c>
      <c r="D990" s="13" t="s">
        <v>15</v>
      </c>
      <c r="E990" s="13" t="s">
        <v>12</v>
      </c>
      <c r="F990">
        <v>14</v>
      </c>
      <c r="G990">
        <v>603.46</v>
      </c>
      <c r="H990">
        <v>8448.44</v>
      </c>
    </row>
    <row r="991" spans="1:8" x14ac:dyDescent="0.25">
      <c r="A991">
        <v>1990</v>
      </c>
      <c r="B991" s="1">
        <v>45581</v>
      </c>
      <c r="C991" s="13" t="s">
        <v>11</v>
      </c>
      <c r="D991" s="13" t="s">
        <v>18</v>
      </c>
      <c r="E991" s="13" t="s">
        <v>21</v>
      </c>
      <c r="F991">
        <v>15</v>
      </c>
      <c r="G991">
        <v>912.08</v>
      </c>
      <c r="H991">
        <v>13681.2</v>
      </c>
    </row>
    <row r="992" spans="1:8" x14ac:dyDescent="0.25">
      <c r="A992">
        <v>1991</v>
      </c>
      <c r="B992" s="1">
        <v>45396</v>
      </c>
      <c r="C992" s="13" t="s">
        <v>13</v>
      </c>
      <c r="D992" s="13" t="s">
        <v>15</v>
      </c>
      <c r="E992" s="13" t="s">
        <v>16</v>
      </c>
      <c r="F992">
        <v>1</v>
      </c>
      <c r="G992">
        <v>349.32</v>
      </c>
      <c r="H992">
        <v>349.32</v>
      </c>
    </row>
    <row r="993" spans="1:8" x14ac:dyDescent="0.25">
      <c r="A993">
        <v>1992</v>
      </c>
      <c r="B993" s="1">
        <v>45358</v>
      </c>
      <c r="C993" s="13" t="s">
        <v>17</v>
      </c>
      <c r="D993" s="13" t="s">
        <v>9</v>
      </c>
      <c r="E993" s="13" t="s">
        <v>10</v>
      </c>
      <c r="F993">
        <v>3</v>
      </c>
      <c r="G993">
        <v>1223.28</v>
      </c>
      <c r="H993">
        <v>3669.84</v>
      </c>
    </row>
    <row r="994" spans="1:8" x14ac:dyDescent="0.25">
      <c r="A994">
        <v>1993</v>
      </c>
      <c r="B994" s="1">
        <v>45433</v>
      </c>
      <c r="C994" s="13" t="s">
        <v>17</v>
      </c>
      <c r="D994" s="13" t="s">
        <v>9</v>
      </c>
      <c r="E994" s="13" t="s">
        <v>16</v>
      </c>
      <c r="F994">
        <v>19</v>
      </c>
      <c r="G994">
        <v>1025.8</v>
      </c>
      <c r="H994">
        <v>19490.2</v>
      </c>
    </row>
    <row r="995" spans="1:8" x14ac:dyDescent="0.25">
      <c r="A995">
        <v>1994</v>
      </c>
      <c r="B995" s="1">
        <v>45443</v>
      </c>
      <c r="C995" s="13" t="s">
        <v>13</v>
      </c>
      <c r="D995" s="13" t="s">
        <v>18</v>
      </c>
      <c r="E995" s="13" t="s">
        <v>21</v>
      </c>
      <c r="F995">
        <v>12</v>
      </c>
      <c r="G995">
        <v>923.13</v>
      </c>
      <c r="H995">
        <v>11077.56</v>
      </c>
    </row>
    <row r="996" spans="1:8" x14ac:dyDescent="0.25">
      <c r="A996">
        <v>1995</v>
      </c>
      <c r="B996" s="1">
        <v>45309</v>
      </c>
      <c r="C996" s="13" t="s">
        <v>19</v>
      </c>
      <c r="D996" s="13" t="s">
        <v>9</v>
      </c>
      <c r="E996" s="13" t="s">
        <v>14</v>
      </c>
      <c r="F996">
        <v>14</v>
      </c>
      <c r="G996">
        <v>319.43</v>
      </c>
      <c r="H996">
        <v>4472.0200000000004</v>
      </c>
    </row>
    <row r="997" spans="1:8" x14ac:dyDescent="0.25">
      <c r="A997">
        <v>1996</v>
      </c>
      <c r="B997" s="1">
        <v>45446</v>
      </c>
      <c r="C997" s="13" t="s">
        <v>11</v>
      </c>
      <c r="D997" s="13" t="s">
        <v>20</v>
      </c>
      <c r="E997" s="13" t="s">
        <v>10</v>
      </c>
      <c r="F997">
        <v>13</v>
      </c>
      <c r="G997">
        <v>1459.2</v>
      </c>
      <c r="H997">
        <v>18969.599999999999</v>
      </c>
    </row>
    <row r="998" spans="1:8" x14ac:dyDescent="0.25">
      <c r="A998">
        <v>1997</v>
      </c>
      <c r="B998" s="1">
        <v>45597</v>
      </c>
      <c r="C998" s="13" t="s">
        <v>19</v>
      </c>
      <c r="D998" s="13" t="s">
        <v>15</v>
      </c>
      <c r="E998" s="13" t="s">
        <v>12</v>
      </c>
      <c r="F998">
        <v>17</v>
      </c>
      <c r="G998">
        <v>727.15</v>
      </c>
      <c r="H998">
        <v>12361.55</v>
      </c>
    </row>
    <row r="999" spans="1:8" x14ac:dyDescent="0.25">
      <c r="A999">
        <v>1998</v>
      </c>
      <c r="B999" s="1">
        <v>45370</v>
      </c>
      <c r="C999" s="13" t="s">
        <v>13</v>
      </c>
      <c r="D999" s="13" t="s">
        <v>9</v>
      </c>
      <c r="E999" s="13" t="s">
        <v>16</v>
      </c>
      <c r="F999">
        <v>19</v>
      </c>
      <c r="G999">
        <v>168.25</v>
      </c>
      <c r="H999">
        <v>3196.75</v>
      </c>
    </row>
    <row r="1000" spans="1:8" x14ac:dyDescent="0.25">
      <c r="A1000">
        <v>1999</v>
      </c>
      <c r="B1000" s="1">
        <v>45377</v>
      </c>
      <c r="C1000" s="13" t="s">
        <v>17</v>
      </c>
      <c r="D1000" s="13" t="s">
        <v>18</v>
      </c>
      <c r="E1000" s="13" t="s">
        <v>16</v>
      </c>
      <c r="F1000">
        <v>2</v>
      </c>
      <c r="G1000">
        <v>1113.22</v>
      </c>
      <c r="H1000">
        <v>2226.44</v>
      </c>
    </row>
    <row r="1001" spans="1:8" x14ac:dyDescent="0.25">
      <c r="A1001">
        <v>2000</v>
      </c>
      <c r="B1001" s="1">
        <v>45376</v>
      </c>
      <c r="C1001" s="13" t="s">
        <v>11</v>
      </c>
      <c r="D1001" s="13" t="s">
        <v>15</v>
      </c>
      <c r="E1001" s="13" t="s">
        <v>14</v>
      </c>
      <c r="F1001">
        <v>9</v>
      </c>
      <c r="G1001">
        <v>1102.44</v>
      </c>
      <c r="H1001">
        <v>9921.9600000000009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2"/>
  <sheetViews>
    <sheetView tabSelected="1" workbookViewId="0">
      <selection activeCell="K992" sqref="K992"/>
    </sheetView>
  </sheetViews>
  <sheetFormatPr defaultRowHeight="15" x14ac:dyDescent="0.25"/>
  <cols>
    <col min="1" max="1" width="11.140625" customWidth="1"/>
    <col min="2" max="2" width="12.5703125" customWidth="1"/>
    <col min="3" max="3" width="12.140625" bestFit="1" customWidth="1"/>
    <col min="4" max="4" width="9.28515625" customWidth="1"/>
    <col min="5" max="5" width="12.140625" customWidth="1"/>
    <col min="6" max="6" width="12.7109375" customWidth="1"/>
    <col min="7" max="7" width="12.42578125" customWidth="1"/>
    <col min="8" max="8" width="13.140625" customWidth="1"/>
  </cols>
  <sheetData>
    <row r="1" spans="1:8" x14ac:dyDescent="0.25">
      <c r="A1" s="6" t="s">
        <v>0</v>
      </c>
      <c r="B1" s="7" t="s">
        <v>1</v>
      </c>
      <c r="C1" s="7" t="s">
        <v>2</v>
      </c>
      <c r="D1" s="7" t="s">
        <v>3</v>
      </c>
      <c r="E1" s="7" t="s">
        <v>4</v>
      </c>
      <c r="F1" s="7" t="s">
        <v>5</v>
      </c>
      <c r="G1" s="7" t="s">
        <v>6</v>
      </c>
      <c r="H1" s="8" t="s">
        <v>7</v>
      </c>
    </row>
    <row r="2" spans="1:8" x14ac:dyDescent="0.25">
      <c r="A2" s="4">
        <v>1001</v>
      </c>
      <c r="B2" s="3">
        <v>45513</v>
      </c>
      <c r="C2" s="2" t="s">
        <v>8</v>
      </c>
      <c r="D2" s="2" t="s">
        <v>9</v>
      </c>
      <c r="E2" s="2" t="s">
        <v>10</v>
      </c>
      <c r="F2" s="2">
        <v>18</v>
      </c>
      <c r="G2" s="2">
        <v>64.72</v>
      </c>
      <c r="H2" s="5">
        <v>1164.96</v>
      </c>
    </row>
    <row r="3" spans="1:8" x14ac:dyDescent="0.25">
      <c r="A3" s="4">
        <v>1002</v>
      </c>
      <c r="B3" s="3">
        <v>45316</v>
      </c>
      <c r="C3" s="2" t="s">
        <v>11</v>
      </c>
      <c r="D3" s="2" t="s">
        <v>9</v>
      </c>
      <c r="E3" s="2" t="s">
        <v>12</v>
      </c>
      <c r="F3" s="2">
        <v>1</v>
      </c>
      <c r="G3" s="2">
        <v>627.14</v>
      </c>
      <c r="H3" s="5">
        <v>627.14</v>
      </c>
    </row>
    <row r="4" spans="1:8" x14ac:dyDescent="0.25">
      <c r="A4" s="4">
        <v>1003</v>
      </c>
      <c r="B4" s="3">
        <v>45596</v>
      </c>
      <c r="C4" s="2" t="s">
        <v>13</v>
      </c>
      <c r="D4" s="2" t="s">
        <v>9</v>
      </c>
      <c r="E4" s="2" t="s">
        <v>14</v>
      </c>
      <c r="F4" s="2">
        <v>10</v>
      </c>
      <c r="G4" s="2">
        <v>265.44</v>
      </c>
      <c r="H4" s="5">
        <v>2654.4</v>
      </c>
    </row>
    <row r="5" spans="1:8" x14ac:dyDescent="0.25">
      <c r="A5" s="4">
        <v>1004</v>
      </c>
      <c r="B5" s="3">
        <v>45467</v>
      </c>
      <c r="C5" s="2" t="s">
        <v>13</v>
      </c>
      <c r="D5" s="2" t="s">
        <v>9</v>
      </c>
      <c r="E5" s="2" t="s">
        <v>12</v>
      </c>
      <c r="F5" s="2">
        <v>6</v>
      </c>
      <c r="G5" s="2">
        <v>983.24</v>
      </c>
      <c r="H5" s="5">
        <v>5899.4400000000014</v>
      </c>
    </row>
    <row r="6" spans="1:8" x14ac:dyDescent="0.25">
      <c r="A6" s="4">
        <v>1005</v>
      </c>
      <c r="B6" s="3">
        <v>45611</v>
      </c>
      <c r="C6" s="2" t="s">
        <v>13</v>
      </c>
      <c r="D6" s="2" t="s">
        <v>15</v>
      </c>
      <c r="E6" s="2" t="s">
        <v>16</v>
      </c>
      <c r="F6" s="2">
        <v>10</v>
      </c>
      <c r="G6" s="2">
        <v>1336.99</v>
      </c>
      <c r="H6" s="5">
        <v>13369.9</v>
      </c>
    </row>
    <row r="7" spans="1:8" x14ac:dyDescent="0.25">
      <c r="A7" s="4">
        <v>1006</v>
      </c>
      <c r="B7" s="3">
        <v>45335</v>
      </c>
      <c r="C7" s="2" t="s">
        <v>17</v>
      </c>
      <c r="D7" s="2" t="s">
        <v>18</v>
      </c>
      <c r="E7" s="2" t="s">
        <v>12</v>
      </c>
      <c r="F7" s="2">
        <v>11</v>
      </c>
      <c r="G7" s="2">
        <v>804.65</v>
      </c>
      <c r="H7" s="5">
        <v>8851.15</v>
      </c>
    </row>
    <row r="8" spans="1:8" x14ac:dyDescent="0.25">
      <c r="A8" s="4">
        <v>1007</v>
      </c>
      <c r="B8" s="3">
        <v>45300</v>
      </c>
      <c r="C8" s="2" t="s">
        <v>19</v>
      </c>
      <c r="D8" s="2" t="s">
        <v>9</v>
      </c>
      <c r="E8" s="2" t="s">
        <v>10</v>
      </c>
      <c r="F8" s="2">
        <v>3</v>
      </c>
      <c r="G8" s="2">
        <v>1272.33</v>
      </c>
      <c r="H8" s="5">
        <v>3816.99</v>
      </c>
    </row>
    <row r="9" spans="1:8" x14ac:dyDescent="0.25">
      <c r="A9" s="4">
        <v>1008</v>
      </c>
      <c r="B9" s="3">
        <v>45310</v>
      </c>
      <c r="C9" s="2" t="s">
        <v>11</v>
      </c>
      <c r="D9" s="2" t="s">
        <v>9</v>
      </c>
      <c r="E9" s="2" t="s">
        <v>10</v>
      </c>
      <c r="F9" s="2">
        <v>14</v>
      </c>
      <c r="G9" s="2">
        <v>1149.95</v>
      </c>
      <c r="H9" s="5">
        <v>16099.3</v>
      </c>
    </row>
    <row r="10" spans="1:8" x14ac:dyDescent="0.25">
      <c r="A10" s="4">
        <v>1009</v>
      </c>
      <c r="B10" s="3">
        <v>45393</v>
      </c>
      <c r="C10" s="2" t="s">
        <v>11</v>
      </c>
      <c r="D10" s="2" t="s">
        <v>15</v>
      </c>
      <c r="E10" s="2" t="s">
        <v>16</v>
      </c>
      <c r="F10" s="2">
        <v>4</v>
      </c>
      <c r="G10" s="2">
        <v>943.1</v>
      </c>
      <c r="H10" s="5">
        <v>3772.4</v>
      </c>
    </row>
    <row r="11" spans="1:8" x14ac:dyDescent="0.25">
      <c r="A11" s="4">
        <v>1010</v>
      </c>
      <c r="B11" s="3">
        <v>45537</v>
      </c>
      <c r="C11" s="2" t="s">
        <v>11</v>
      </c>
      <c r="D11" s="2" t="s">
        <v>18</v>
      </c>
      <c r="E11" s="2" t="s">
        <v>10</v>
      </c>
      <c r="F11" s="2">
        <v>5</v>
      </c>
      <c r="G11" s="2">
        <v>897.09</v>
      </c>
      <c r="H11" s="5">
        <v>4485.45</v>
      </c>
    </row>
    <row r="12" spans="1:8" x14ac:dyDescent="0.25">
      <c r="A12" s="4">
        <v>1011</v>
      </c>
      <c r="B12" s="3">
        <v>45543</v>
      </c>
      <c r="C12" s="2" t="s">
        <v>17</v>
      </c>
      <c r="D12" s="2" t="s">
        <v>20</v>
      </c>
      <c r="E12" s="2" t="s">
        <v>10</v>
      </c>
      <c r="F12" s="2">
        <v>2</v>
      </c>
      <c r="G12" s="2">
        <v>766.02</v>
      </c>
      <c r="H12" s="5">
        <v>1532.04</v>
      </c>
    </row>
    <row r="13" spans="1:8" x14ac:dyDescent="0.25">
      <c r="A13" s="4">
        <v>1012</v>
      </c>
      <c r="B13" s="3">
        <v>45407</v>
      </c>
      <c r="C13" s="2" t="s">
        <v>8</v>
      </c>
      <c r="D13" s="2" t="s">
        <v>9</v>
      </c>
      <c r="E13" s="2" t="s">
        <v>10</v>
      </c>
      <c r="F13" s="2">
        <v>9</v>
      </c>
      <c r="G13" s="2">
        <v>823.96</v>
      </c>
      <c r="H13" s="5">
        <v>7415.64</v>
      </c>
    </row>
    <row r="14" spans="1:8" x14ac:dyDescent="0.25">
      <c r="A14" s="4">
        <v>1013</v>
      </c>
      <c r="B14" s="3">
        <v>45444</v>
      </c>
      <c r="C14" s="2" t="s">
        <v>19</v>
      </c>
      <c r="D14" s="2" t="s">
        <v>18</v>
      </c>
      <c r="E14" s="2" t="s">
        <v>14</v>
      </c>
      <c r="F14" s="2">
        <v>17</v>
      </c>
      <c r="G14" s="2">
        <v>1485</v>
      </c>
      <c r="H14" s="5">
        <v>25245</v>
      </c>
    </row>
    <row r="15" spans="1:8" x14ac:dyDescent="0.25">
      <c r="A15" s="4">
        <v>1014</v>
      </c>
      <c r="B15" s="3">
        <v>45371</v>
      </c>
      <c r="C15" s="2" t="s">
        <v>17</v>
      </c>
      <c r="D15" s="2" t="s">
        <v>15</v>
      </c>
      <c r="E15" s="2" t="s">
        <v>21</v>
      </c>
      <c r="F15" s="2">
        <v>6</v>
      </c>
      <c r="G15" s="2">
        <v>550.55999999999995</v>
      </c>
      <c r="H15" s="5">
        <v>3303.36</v>
      </c>
    </row>
    <row r="16" spans="1:8" x14ac:dyDescent="0.25">
      <c r="A16" s="4">
        <v>1015</v>
      </c>
      <c r="B16" s="3">
        <v>45617</v>
      </c>
      <c r="C16" s="2" t="s">
        <v>17</v>
      </c>
      <c r="D16" s="2" t="s">
        <v>15</v>
      </c>
      <c r="E16" s="2" t="s">
        <v>12</v>
      </c>
      <c r="F16" s="2">
        <v>1</v>
      </c>
      <c r="G16" s="2">
        <v>346.66</v>
      </c>
      <c r="H16" s="5">
        <v>346.66</v>
      </c>
    </row>
    <row r="17" spans="1:8" x14ac:dyDescent="0.25">
      <c r="A17" s="4">
        <v>1016</v>
      </c>
      <c r="B17" s="3">
        <v>45605</v>
      </c>
      <c r="C17" s="2" t="s">
        <v>8</v>
      </c>
      <c r="D17" s="2" t="s">
        <v>15</v>
      </c>
      <c r="E17" s="2" t="s">
        <v>12</v>
      </c>
      <c r="F17" s="2">
        <v>14</v>
      </c>
      <c r="G17" s="2">
        <v>415.45</v>
      </c>
      <c r="H17" s="5">
        <v>5816.3</v>
      </c>
    </row>
    <row r="18" spans="1:8" x14ac:dyDescent="0.25">
      <c r="A18" s="4">
        <v>1017</v>
      </c>
      <c r="B18" s="3">
        <v>45495</v>
      </c>
      <c r="C18" s="2" t="s">
        <v>19</v>
      </c>
      <c r="D18" s="2" t="s">
        <v>15</v>
      </c>
      <c r="E18" s="2" t="s">
        <v>10</v>
      </c>
      <c r="F18" s="2">
        <v>12</v>
      </c>
      <c r="G18" s="2">
        <v>405.58</v>
      </c>
      <c r="H18" s="5">
        <v>4866.96</v>
      </c>
    </row>
    <row r="19" spans="1:8" x14ac:dyDescent="0.25">
      <c r="A19" s="4">
        <v>1018</v>
      </c>
      <c r="B19" s="3">
        <v>45515</v>
      </c>
      <c r="C19" s="2" t="s">
        <v>13</v>
      </c>
      <c r="D19" s="2" t="s">
        <v>9</v>
      </c>
      <c r="E19" s="2" t="s">
        <v>12</v>
      </c>
      <c r="F19" s="2">
        <v>2</v>
      </c>
      <c r="G19" s="2">
        <v>1193.24</v>
      </c>
      <c r="H19" s="5">
        <v>2386.48</v>
      </c>
    </row>
    <row r="20" spans="1:8" x14ac:dyDescent="0.25">
      <c r="A20" s="4">
        <v>1019</v>
      </c>
      <c r="B20" s="3">
        <v>45531</v>
      </c>
      <c r="C20" s="2" t="s">
        <v>17</v>
      </c>
      <c r="D20" s="2" t="s">
        <v>18</v>
      </c>
      <c r="E20" s="2" t="s">
        <v>21</v>
      </c>
      <c r="F20" s="2">
        <v>17</v>
      </c>
      <c r="G20" s="2">
        <v>774.21</v>
      </c>
      <c r="H20" s="5">
        <v>13161.57</v>
      </c>
    </row>
    <row r="21" spans="1:8" x14ac:dyDescent="0.25">
      <c r="A21" s="4">
        <v>1020</v>
      </c>
      <c r="B21" s="3">
        <v>45597</v>
      </c>
      <c r="C21" s="2" t="s">
        <v>11</v>
      </c>
      <c r="D21" s="2" t="s">
        <v>9</v>
      </c>
      <c r="E21" s="2" t="s">
        <v>10</v>
      </c>
      <c r="F21" s="2">
        <v>16</v>
      </c>
      <c r="G21" s="2">
        <v>1440.18</v>
      </c>
      <c r="H21" s="5">
        <v>23042.880000000001</v>
      </c>
    </row>
    <row r="22" spans="1:8" x14ac:dyDescent="0.25">
      <c r="A22" s="4">
        <v>1021</v>
      </c>
      <c r="B22" s="3">
        <v>45372</v>
      </c>
      <c r="C22" s="2" t="s">
        <v>17</v>
      </c>
      <c r="D22" s="2" t="s">
        <v>9</v>
      </c>
      <c r="E22" s="2" t="s">
        <v>10</v>
      </c>
      <c r="F22" s="2">
        <v>8</v>
      </c>
      <c r="G22" s="2">
        <v>1065.2</v>
      </c>
      <c r="H22" s="5">
        <v>8521.6</v>
      </c>
    </row>
    <row r="23" spans="1:8" x14ac:dyDescent="0.25">
      <c r="A23" s="4">
        <v>1022</v>
      </c>
      <c r="B23" s="3">
        <v>45434</v>
      </c>
      <c r="C23" s="2" t="s">
        <v>17</v>
      </c>
      <c r="D23" s="2" t="s">
        <v>18</v>
      </c>
      <c r="E23" s="2" t="s">
        <v>12</v>
      </c>
      <c r="F23" s="2">
        <v>11</v>
      </c>
      <c r="G23" s="2">
        <v>1365.83</v>
      </c>
      <c r="H23" s="5">
        <v>15024.13</v>
      </c>
    </row>
    <row r="24" spans="1:8" x14ac:dyDescent="0.25">
      <c r="A24" s="4">
        <v>1023</v>
      </c>
      <c r="B24" s="3">
        <v>45612</v>
      </c>
      <c r="C24" s="2" t="s">
        <v>11</v>
      </c>
      <c r="D24" s="2" t="s">
        <v>15</v>
      </c>
      <c r="E24" s="2" t="s">
        <v>10</v>
      </c>
      <c r="F24" s="2">
        <v>2</v>
      </c>
      <c r="G24" s="2">
        <v>325.52999999999997</v>
      </c>
      <c r="H24" s="5">
        <v>651.05999999999995</v>
      </c>
    </row>
    <row r="25" spans="1:8" x14ac:dyDescent="0.25">
      <c r="A25" s="4">
        <v>1024</v>
      </c>
      <c r="B25" s="3">
        <v>45604</v>
      </c>
      <c r="C25" s="2" t="s">
        <v>19</v>
      </c>
      <c r="D25" s="2" t="s">
        <v>20</v>
      </c>
      <c r="E25" s="2" t="s">
        <v>10</v>
      </c>
      <c r="F25" s="2">
        <v>14</v>
      </c>
      <c r="G25" s="2">
        <v>381.29</v>
      </c>
      <c r="H25" s="5">
        <v>5338.06</v>
      </c>
    </row>
    <row r="26" spans="1:8" x14ac:dyDescent="0.25">
      <c r="A26" s="4">
        <v>1025</v>
      </c>
      <c r="B26" s="3">
        <v>45415</v>
      </c>
      <c r="C26" s="2" t="s">
        <v>11</v>
      </c>
      <c r="D26" s="2" t="s">
        <v>15</v>
      </c>
      <c r="E26" s="2" t="s">
        <v>14</v>
      </c>
      <c r="F26" s="2">
        <v>8</v>
      </c>
      <c r="G26" s="2">
        <v>452.66</v>
      </c>
      <c r="H26" s="5">
        <v>3621.28</v>
      </c>
    </row>
    <row r="27" spans="1:8" x14ac:dyDescent="0.25">
      <c r="A27" s="4">
        <v>1026</v>
      </c>
      <c r="B27" s="3">
        <v>45573</v>
      </c>
      <c r="C27" s="2" t="s">
        <v>11</v>
      </c>
      <c r="D27" s="2" t="s">
        <v>9</v>
      </c>
      <c r="E27" s="2" t="s">
        <v>14</v>
      </c>
      <c r="F27" s="2">
        <v>5</v>
      </c>
      <c r="G27" s="2">
        <v>569.89</v>
      </c>
      <c r="H27" s="5">
        <v>2849.45</v>
      </c>
    </row>
    <row r="28" spans="1:8" x14ac:dyDescent="0.25">
      <c r="A28" s="4">
        <v>1027</v>
      </c>
      <c r="B28" s="3">
        <v>45495</v>
      </c>
      <c r="C28" s="2" t="s">
        <v>19</v>
      </c>
      <c r="D28" s="2" t="s">
        <v>9</v>
      </c>
      <c r="E28" s="2" t="s">
        <v>12</v>
      </c>
      <c r="F28" s="2">
        <v>5</v>
      </c>
      <c r="G28" s="2">
        <v>1271.6199999999999</v>
      </c>
      <c r="H28" s="5">
        <v>6358.0999999999995</v>
      </c>
    </row>
    <row r="29" spans="1:8" x14ac:dyDescent="0.25">
      <c r="A29" s="4">
        <v>1028</v>
      </c>
      <c r="B29" s="3">
        <v>45296</v>
      </c>
      <c r="C29" s="2" t="s">
        <v>8</v>
      </c>
      <c r="D29" s="2" t="s">
        <v>18</v>
      </c>
      <c r="E29" s="2" t="s">
        <v>14</v>
      </c>
      <c r="F29" s="2">
        <v>16</v>
      </c>
      <c r="G29" s="2">
        <v>1172.26</v>
      </c>
      <c r="H29" s="5">
        <v>18756.16</v>
      </c>
    </row>
    <row r="30" spans="1:8" x14ac:dyDescent="0.25">
      <c r="A30" s="4">
        <v>1029</v>
      </c>
      <c r="B30" s="3">
        <v>45611</v>
      </c>
      <c r="C30" s="2" t="s">
        <v>8</v>
      </c>
      <c r="D30" s="2" t="s">
        <v>9</v>
      </c>
      <c r="E30" s="2" t="s">
        <v>21</v>
      </c>
      <c r="F30" s="2">
        <v>1</v>
      </c>
      <c r="G30" s="2">
        <v>307.38</v>
      </c>
      <c r="H30" s="5">
        <v>307.38</v>
      </c>
    </row>
    <row r="31" spans="1:8" x14ac:dyDescent="0.25">
      <c r="A31" s="4">
        <v>1030</v>
      </c>
      <c r="B31" s="3">
        <v>45453</v>
      </c>
      <c r="C31" s="2" t="s">
        <v>8</v>
      </c>
      <c r="D31" s="2" t="s">
        <v>18</v>
      </c>
      <c r="E31" s="2" t="s">
        <v>16</v>
      </c>
      <c r="F31" s="2">
        <v>9</v>
      </c>
      <c r="G31" s="2">
        <v>1279.04</v>
      </c>
      <c r="H31" s="5">
        <v>11511.36</v>
      </c>
    </row>
    <row r="32" spans="1:8" x14ac:dyDescent="0.25">
      <c r="A32" s="4">
        <v>1031</v>
      </c>
      <c r="B32" s="3">
        <v>45545</v>
      </c>
      <c r="C32" s="2" t="s">
        <v>19</v>
      </c>
      <c r="D32" s="2" t="s">
        <v>9</v>
      </c>
      <c r="E32" s="2" t="s">
        <v>14</v>
      </c>
      <c r="F32" s="2">
        <v>6</v>
      </c>
      <c r="G32" s="2">
        <v>276</v>
      </c>
      <c r="H32" s="5">
        <v>1656</v>
      </c>
    </row>
    <row r="33" spans="1:8" x14ac:dyDescent="0.25">
      <c r="A33" s="4">
        <v>1032</v>
      </c>
      <c r="B33" s="3">
        <v>45618</v>
      </c>
      <c r="C33" s="2" t="s">
        <v>11</v>
      </c>
      <c r="D33" s="2" t="s">
        <v>20</v>
      </c>
      <c r="E33" s="2" t="s">
        <v>10</v>
      </c>
      <c r="F33" s="2">
        <v>2</v>
      </c>
      <c r="G33" s="2">
        <v>1381.08</v>
      </c>
      <c r="H33" s="5">
        <v>2762.16</v>
      </c>
    </row>
    <row r="34" spans="1:8" x14ac:dyDescent="0.25">
      <c r="A34" s="4">
        <v>1033</v>
      </c>
      <c r="B34" s="3">
        <v>45593</v>
      </c>
      <c r="C34" s="2" t="s">
        <v>11</v>
      </c>
      <c r="D34" s="2" t="s">
        <v>15</v>
      </c>
      <c r="E34" s="2" t="s">
        <v>12</v>
      </c>
      <c r="F34" s="2">
        <v>3</v>
      </c>
      <c r="G34" s="2">
        <v>866.67</v>
      </c>
      <c r="H34" s="5">
        <v>2600.0100000000002</v>
      </c>
    </row>
    <row r="35" spans="1:8" x14ac:dyDescent="0.25">
      <c r="A35" s="4">
        <v>1034</v>
      </c>
      <c r="B35" s="3">
        <v>45530</v>
      </c>
      <c r="C35" s="2" t="s">
        <v>19</v>
      </c>
      <c r="D35" s="2" t="s">
        <v>15</v>
      </c>
      <c r="E35" s="2" t="s">
        <v>21</v>
      </c>
      <c r="F35" s="2">
        <v>8</v>
      </c>
      <c r="G35" s="2">
        <v>981.68</v>
      </c>
      <c r="H35" s="5">
        <v>7853.44</v>
      </c>
    </row>
    <row r="36" spans="1:8" x14ac:dyDescent="0.25">
      <c r="A36" s="4">
        <v>1035</v>
      </c>
      <c r="B36" s="3">
        <v>45430</v>
      </c>
      <c r="C36" s="2" t="s">
        <v>19</v>
      </c>
      <c r="D36" s="2" t="s">
        <v>15</v>
      </c>
      <c r="E36" s="2" t="s">
        <v>10</v>
      </c>
      <c r="F36" s="2">
        <v>17</v>
      </c>
      <c r="G36" s="2">
        <v>911.72</v>
      </c>
      <c r="H36" s="5">
        <v>15499.24</v>
      </c>
    </row>
    <row r="37" spans="1:8" x14ac:dyDescent="0.25">
      <c r="A37" s="4">
        <v>1036</v>
      </c>
      <c r="B37" s="3">
        <v>45541</v>
      </c>
      <c r="C37" s="2" t="s">
        <v>11</v>
      </c>
      <c r="D37" s="2" t="s">
        <v>18</v>
      </c>
      <c r="E37" s="2" t="s">
        <v>21</v>
      </c>
      <c r="F37" s="2">
        <v>4</v>
      </c>
      <c r="G37" s="2">
        <v>441.32</v>
      </c>
      <c r="H37" s="5">
        <v>1765.28</v>
      </c>
    </row>
    <row r="38" spans="1:8" x14ac:dyDescent="0.25">
      <c r="A38" s="4">
        <v>1037</v>
      </c>
      <c r="B38" s="3">
        <v>45556</v>
      </c>
      <c r="C38" s="2" t="s">
        <v>13</v>
      </c>
      <c r="D38" s="2" t="s">
        <v>20</v>
      </c>
      <c r="E38" s="2" t="s">
        <v>21</v>
      </c>
      <c r="F38" s="2">
        <v>17</v>
      </c>
      <c r="G38" s="2">
        <v>538.85</v>
      </c>
      <c r="H38" s="5">
        <v>9160.4500000000007</v>
      </c>
    </row>
    <row r="39" spans="1:8" x14ac:dyDescent="0.25">
      <c r="A39" s="4">
        <v>1038</v>
      </c>
      <c r="B39" s="3">
        <v>45586</v>
      </c>
      <c r="C39" s="2" t="s">
        <v>13</v>
      </c>
      <c r="D39" s="2" t="s">
        <v>20</v>
      </c>
      <c r="E39" s="2" t="s">
        <v>12</v>
      </c>
      <c r="F39" s="2">
        <v>10</v>
      </c>
      <c r="G39" s="2">
        <v>295.69</v>
      </c>
      <c r="H39" s="5">
        <v>2956.9</v>
      </c>
    </row>
    <row r="40" spans="1:8" x14ac:dyDescent="0.25">
      <c r="A40" s="4">
        <v>1039</v>
      </c>
      <c r="B40" s="3">
        <v>45614</v>
      </c>
      <c r="C40" s="2" t="s">
        <v>13</v>
      </c>
      <c r="D40" s="2" t="s">
        <v>18</v>
      </c>
      <c r="E40" s="2" t="s">
        <v>12</v>
      </c>
      <c r="F40" s="2">
        <v>13</v>
      </c>
      <c r="G40" s="2">
        <v>1154.3900000000001</v>
      </c>
      <c r="H40" s="5">
        <v>15007.07</v>
      </c>
    </row>
    <row r="41" spans="1:8" x14ac:dyDescent="0.25">
      <c r="A41" s="4">
        <v>1040</v>
      </c>
      <c r="B41" s="3">
        <v>45491</v>
      </c>
      <c r="C41" s="2" t="s">
        <v>8</v>
      </c>
      <c r="D41" s="2" t="s">
        <v>9</v>
      </c>
      <c r="E41" s="2" t="s">
        <v>10</v>
      </c>
      <c r="F41" s="2">
        <v>4</v>
      </c>
      <c r="G41" s="2">
        <v>321.76</v>
      </c>
      <c r="H41" s="5">
        <v>1287.04</v>
      </c>
    </row>
    <row r="42" spans="1:8" x14ac:dyDescent="0.25">
      <c r="A42" s="4">
        <v>1041</v>
      </c>
      <c r="B42" s="3">
        <v>45647</v>
      </c>
      <c r="C42" s="2" t="s">
        <v>13</v>
      </c>
      <c r="D42" s="2" t="s">
        <v>15</v>
      </c>
      <c r="E42" s="2" t="s">
        <v>16</v>
      </c>
      <c r="F42" s="2">
        <v>8</v>
      </c>
      <c r="G42" s="2">
        <v>1150.94</v>
      </c>
      <c r="H42" s="5">
        <v>9207.52</v>
      </c>
    </row>
    <row r="43" spans="1:8" x14ac:dyDescent="0.25">
      <c r="A43" s="4">
        <v>1042</v>
      </c>
      <c r="B43" s="3">
        <v>45629</v>
      </c>
      <c r="C43" s="2" t="s">
        <v>11</v>
      </c>
      <c r="D43" s="2" t="s">
        <v>20</v>
      </c>
      <c r="E43" s="2" t="s">
        <v>14</v>
      </c>
      <c r="F43" s="2">
        <v>14</v>
      </c>
      <c r="G43" s="2">
        <v>93.12</v>
      </c>
      <c r="H43" s="5">
        <v>1303.68</v>
      </c>
    </row>
    <row r="44" spans="1:8" x14ac:dyDescent="0.25">
      <c r="A44" s="4">
        <v>1043</v>
      </c>
      <c r="B44" s="3">
        <v>45616</v>
      </c>
      <c r="C44" s="2" t="s">
        <v>17</v>
      </c>
      <c r="D44" s="2" t="s">
        <v>9</v>
      </c>
      <c r="E44" s="2" t="s">
        <v>16</v>
      </c>
      <c r="F44" s="2">
        <v>12</v>
      </c>
      <c r="G44" s="2">
        <v>351.52</v>
      </c>
      <c r="H44" s="5">
        <v>4218.24</v>
      </c>
    </row>
    <row r="45" spans="1:8" x14ac:dyDescent="0.25">
      <c r="A45" s="4">
        <v>1044</v>
      </c>
      <c r="B45" s="3">
        <v>45508</v>
      </c>
      <c r="C45" s="2" t="s">
        <v>13</v>
      </c>
      <c r="D45" s="2" t="s">
        <v>9</v>
      </c>
      <c r="E45" s="2" t="s">
        <v>14</v>
      </c>
      <c r="F45" s="2">
        <v>10</v>
      </c>
      <c r="G45" s="2">
        <v>930.7</v>
      </c>
      <c r="H45" s="5">
        <v>9307</v>
      </c>
    </row>
    <row r="46" spans="1:8" x14ac:dyDescent="0.25">
      <c r="A46" s="4">
        <v>1045</v>
      </c>
      <c r="B46" s="3">
        <v>45432</v>
      </c>
      <c r="C46" s="2" t="s">
        <v>19</v>
      </c>
      <c r="D46" s="2" t="s">
        <v>18</v>
      </c>
      <c r="E46" s="2" t="s">
        <v>16</v>
      </c>
      <c r="F46" s="2">
        <v>8</v>
      </c>
      <c r="G46" s="2">
        <v>703.23</v>
      </c>
      <c r="H46" s="5">
        <v>5625.84</v>
      </c>
    </row>
    <row r="47" spans="1:8" x14ac:dyDescent="0.25">
      <c r="A47" s="4">
        <v>1046</v>
      </c>
      <c r="B47" s="3">
        <v>45314</v>
      </c>
      <c r="C47" s="2" t="s">
        <v>8</v>
      </c>
      <c r="D47" s="2" t="s">
        <v>15</v>
      </c>
      <c r="E47" s="2" t="s">
        <v>14</v>
      </c>
      <c r="F47" s="2">
        <v>17</v>
      </c>
      <c r="G47" s="2">
        <v>1428.89</v>
      </c>
      <c r="H47" s="5">
        <v>24291.13</v>
      </c>
    </row>
    <row r="48" spans="1:8" x14ac:dyDescent="0.25">
      <c r="A48" s="4">
        <v>1047</v>
      </c>
      <c r="B48" s="3">
        <v>45484</v>
      </c>
      <c r="C48" s="2" t="s">
        <v>11</v>
      </c>
      <c r="D48" s="2" t="s">
        <v>18</v>
      </c>
      <c r="E48" s="2" t="s">
        <v>12</v>
      </c>
      <c r="F48" s="2">
        <v>16</v>
      </c>
      <c r="G48" s="2">
        <v>294.82</v>
      </c>
      <c r="H48" s="5">
        <v>4717.12</v>
      </c>
    </row>
    <row r="49" spans="1:8" x14ac:dyDescent="0.25">
      <c r="A49" s="4">
        <v>1048</v>
      </c>
      <c r="B49" s="3">
        <v>45560</v>
      </c>
      <c r="C49" s="2" t="s">
        <v>19</v>
      </c>
      <c r="D49" s="2" t="s">
        <v>18</v>
      </c>
      <c r="E49" s="2" t="s">
        <v>14</v>
      </c>
      <c r="F49" s="2">
        <v>8</v>
      </c>
      <c r="G49" s="2">
        <v>1326.76</v>
      </c>
      <c r="H49" s="5">
        <v>10614.08</v>
      </c>
    </row>
    <row r="50" spans="1:8" x14ac:dyDescent="0.25">
      <c r="A50" s="4">
        <v>1049</v>
      </c>
      <c r="B50" s="3">
        <v>45510</v>
      </c>
      <c r="C50" s="2" t="s">
        <v>19</v>
      </c>
      <c r="D50" s="2" t="s">
        <v>20</v>
      </c>
      <c r="E50" s="2" t="s">
        <v>12</v>
      </c>
      <c r="F50" s="2">
        <v>4</v>
      </c>
      <c r="G50" s="2">
        <v>459.99</v>
      </c>
      <c r="H50" s="5">
        <v>1839.96</v>
      </c>
    </row>
    <row r="51" spans="1:8" x14ac:dyDescent="0.25">
      <c r="A51" s="4">
        <v>1050</v>
      </c>
      <c r="B51" s="3">
        <v>45356</v>
      </c>
      <c r="C51" s="2" t="s">
        <v>13</v>
      </c>
      <c r="D51" s="2" t="s">
        <v>18</v>
      </c>
      <c r="E51" s="2" t="s">
        <v>14</v>
      </c>
      <c r="F51" s="2">
        <v>16</v>
      </c>
      <c r="G51" s="2">
        <v>1449.63</v>
      </c>
      <c r="H51" s="5">
        <v>23194.080000000002</v>
      </c>
    </row>
    <row r="52" spans="1:8" x14ac:dyDescent="0.25">
      <c r="A52" s="4">
        <v>1051</v>
      </c>
      <c r="B52" s="3">
        <v>45599</v>
      </c>
      <c r="C52" s="2" t="s">
        <v>17</v>
      </c>
      <c r="D52" s="2" t="s">
        <v>9</v>
      </c>
      <c r="E52" s="2" t="s">
        <v>14</v>
      </c>
      <c r="F52" s="2">
        <v>14</v>
      </c>
      <c r="G52" s="2">
        <v>1388.93</v>
      </c>
      <c r="H52" s="5">
        <v>19445.02</v>
      </c>
    </row>
    <row r="53" spans="1:8" x14ac:dyDescent="0.25">
      <c r="A53" s="4">
        <v>1052</v>
      </c>
      <c r="B53" s="3">
        <v>45617</v>
      </c>
      <c r="C53" s="2" t="s">
        <v>13</v>
      </c>
      <c r="D53" s="2" t="s">
        <v>9</v>
      </c>
      <c r="E53" s="2" t="s">
        <v>14</v>
      </c>
      <c r="F53" s="2">
        <v>11</v>
      </c>
      <c r="G53" s="2">
        <v>373.41</v>
      </c>
      <c r="H53" s="5">
        <v>4107.51</v>
      </c>
    </row>
    <row r="54" spans="1:8" x14ac:dyDescent="0.25">
      <c r="A54" s="4">
        <v>1053</v>
      </c>
      <c r="B54" s="3">
        <v>45538</v>
      </c>
      <c r="C54" s="2" t="s">
        <v>13</v>
      </c>
      <c r="D54" s="2" t="s">
        <v>9</v>
      </c>
      <c r="E54" s="2" t="s">
        <v>21</v>
      </c>
      <c r="F54" s="2">
        <v>11</v>
      </c>
      <c r="G54" s="2">
        <v>546.16999999999996</v>
      </c>
      <c r="H54" s="5">
        <v>6007.87</v>
      </c>
    </row>
    <row r="55" spans="1:8" x14ac:dyDescent="0.25">
      <c r="A55" s="4">
        <v>1054</v>
      </c>
      <c r="B55" s="3">
        <v>45301</v>
      </c>
      <c r="C55" s="2" t="s">
        <v>19</v>
      </c>
      <c r="D55" s="2" t="s">
        <v>18</v>
      </c>
      <c r="E55" s="2" t="s">
        <v>10</v>
      </c>
      <c r="F55" s="2">
        <v>14</v>
      </c>
      <c r="G55" s="2">
        <v>1238.49</v>
      </c>
      <c r="H55" s="5">
        <v>17338.86</v>
      </c>
    </row>
    <row r="56" spans="1:8" x14ac:dyDescent="0.25">
      <c r="A56" s="4">
        <v>1055</v>
      </c>
      <c r="B56" s="3">
        <v>45650</v>
      </c>
      <c r="C56" s="2" t="s">
        <v>13</v>
      </c>
      <c r="D56" s="2" t="s">
        <v>18</v>
      </c>
      <c r="E56" s="2" t="s">
        <v>21</v>
      </c>
      <c r="F56" s="2">
        <v>15</v>
      </c>
      <c r="G56" s="2">
        <v>1103.04</v>
      </c>
      <c r="H56" s="5">
        <v>16545.599999999999</v>
      </c>
    </row>
    <row r="57" spans="1:8" x14ac:dyDescent="0.25">
      <c r="A57" s="4">
        <v>1056</v>
      </c>
      <c r="B57" s="3">
        <v>45581</v>
      </c>
      <c r="C57" s="2" t="s">
        <v>13</v>
      </c>
      <c r="D57" s="2" t="s">
        <v>15</v>
      </c>
      <c r="E57" s="2" t="s">
        <v>14</v>
      </c>
      <c r="F57" s="2">
        <v>18</v>
      </c>
      <c r="G57" s="2">
        <v>1174.48</v>
      </c>
      <c r="H57" s="5">
        <v>21140.639999999999</v>
      </c>
    </row>
    <row r="58" spans="1:8" x14ac:dyDescent="0.25">
      <c r="A58" s="4">
        <v>1057</v>
      </c>
      <c r="B58" s="3">
        <v>45452</v>
      </c>
      <c r="C58" s="2" t="s">
        <v>8</v>
      </c>
      <c r="D58" s="2" t="s">
        <v>9</v>
      </c>
      <c r="E58" s="2" t="s">
        <v>21</v>
      </c>
      <c r="F58" s="2">
        <v>14</v>
      </c>
      <c r="G58" s="2">
        <v>1404.68</v>
      </c>
      <c r="H58" s="5">
        <v>19665.52</v>
      </c>
    </row>
    <row r="59" spans="1:8" x14ac:dyDescent="0.25">
      <c r="A59" s="4">
        <v>1058</v>
      </c>
      <c r="B59" s="3">
        <v>45339</v>
      </c>
      <c r="C59" s="2" t="s">
        <v>8</v>
      </c>
      <c r="D59" s="2" t="s">
        <v>15</v>
      </c>
      <c r="E59" s="2" t="s">
        <v>12</v>
      </c>
      <c r="F59" s="2">
        <v>16</v>
      </c>
      <c r="G59" s="2">
        <v>66</v>
      </c>
      <c r="H59" s="5">
        <v>1056</v>
      </c>
    </row>
    <row r="60" spans="1:8" x14ac:dyDescent="0.25">
      <c r="A60" s="4">
        <v>1059</v>
      </c>
      <c r="B60" s="3">
        <v>45426</v>
      </c>
      <c r="C60" s="2" t="s">
        <v>19</v>
      </c>
      <c r="D60" s="2" t="s">
        <v>18</v>
      </c>
      <c r="E60" s="2" t="s">
        <v>14</v>
      </c>
      <c r="F60" s="2">
        <v>6</v>
      </c>
      <c r="G60" s="2">
        <v>1366.76</v>
      </c>
      <c r="H60" s="5">
        <v>8200.56</v>
      </c>
    </row>
    <row r="61" spans="1:8" x14ac:dyDescent="0.25">
      <c r="A61" s="4">
        <v>1060</v>
      </c>
      <c r="B61" s="3">
        <v>45343</v>
      </c>
      <c r="C61" s="2" t="s">
        <v>8</v>
      </c>
      <c r="D61" s="2" t="s">
        <v>9</v>
      </c>
      <c r="E61" s="2" t="s">
        <v>21</v>
      </c>
      <c r="F61" s="2">
        <v>13</v>
      </c>
      <c r="G61" s="2">
        <v>1330.92</v>
      </c>
      <c r="H61" s="5">
        <v>17301.96</v>
      </c>
    </row>
    <row r="62" spans="1:8" x14ac:dyDescent="0.25">
      <c r="A62" s="4">
        <v>1061</v>
      </c>
      <c r="B62" s="3">
        <v>45466</v>
      </c>
      <c r="C62" s="2" t="s">
        <v>8</v>
      </c>
      <c r="D62" s="2" t="s">
        <v>18</v>
      </c>
      <c r="E62" s="2" t="s">
        <v>21</v>
      </c>
      <c r="F62" s="2">
        <v>10</v>
      </c>
      <c r="G62" s="2">
        <v>1023.25</v>
      </c>
      <c r="H62" s="5">
        <v>10232.5</v>
      </c>
    </row>
    <row r="63" spans="1:8" x14ac:dyDescent="0.25">
      <c r="A63" s="4">
        <v>1062</v>
      </c>
      <c r="B63" s="3">
        <v>45502</v>
      </c>
      <c r="C63" s="2" t="s">
        <v>19</v>
      </c>
      <c r="D63" s="2" t="s">
        <v>20</v>
      </c>
      <c r="E63" s="2" t="s">
        <v>21</v>
      </c>
      <c r="F63" s="2">
        <v>19</v>
      </c>
      <c r="G63" s="2">
        <v>1061.51</v>
      </c>
      <c r="H63" s="5">
        <v>20168.689999999999</v>
      </c>
    </row>
    <row r="64" spans="1:8" x14ac:dyDescent="0.25">
      <c r="A64" s="4">
        <v>1063</v>
      </c>
      <c r="B64" s="3">
        <v>45342</v>
      </c>
      <c r="C64" s="2" t="s">
        <v>11</v>
      </c>
      <c r="D64" s="2" t="s">
        <v>9</v>
      </c>
      <c r="E64" s="2" t="s">
        <v>16</v>
      </c>
      <c r="F64" s="2">
        <v>17</v>
      </c>
      <c r="G64" s="2">
        <v>601.57000000000005</v>
      </c>
      <c r="H64" s="5">
        <v>10226.69</v>
      </c>
    </row>
    <row r="65" spans="1:8" x14ac:dyDescent="0.25">
      <c r="A65" s="4">
        <v>1064</v>
      </c>
      <c r="B65" s="3">
        <v>45419</v>
      </c>
      <c r="C65" s="2" t="s">
        <v>19</v>
      </c>
      <c r="D65" s="2" t="s">
        <v>15</v>
      </c>
      <c r="E65" s="2" t="s">
        <v>12</v>
      </c>
      <c r="F65" s="2">
        <v>13</v>
      </c>
      <c r="G65" s="2">
        <v>723.64</v>
      </c>
      <c r="H65" s="5">
        <v>9407.32</v>
      </c>
    </row>
    <row r="66" spans="1:8" x14ac:dyDescent="0.25">
      <c r="A66" s="4">
        <v>1065</v>
      </c>
      <c r="B66" s="3">
        <v>45309</v>
      </c>
      <c r="C66" s="2" t="s">
        <v>19</v>
      </c>
      <c r="D66" s="2" t="s">
        <v>20</v>
      </c>
      <c r="E66" s="2" t="s">
        <v>14</v>
      </c>
      <c r="F66" s="2">
        <v>19</v>
      </c>
      <c r="G66" s="2">
        <v>75.84</v>
      </c>
      <c r="H66" s="5">
        <v>1440.96</v>
      </c>
    </row>
    <row r="67" spans="1:8" x14ac:dyDescent="0.25">
      <c r="A67" s="4">
        <v>1066</v>
      </c>
      <c r="B67" s="3">
        <v>45482</v>
      </c>
      <c r="C67" s="2" t="s">
        <v>13</v>
      </c>
      <c r="D67" s="2" t="s">
        <v>9</v>
      </c>
      <c r="E67" s="2" t="s">
        <v>10</v>
      </c>
      <c r="F67" s="2">
        <v>9</v>
      </c>
      <c r="G67" s="2">
        <v>884.79</v>
      </c>
      <c r="H67" s="5">
        <v>7963.11</v>
      </c>
    </row>
    <row r="68" spans="1:8" x14ac:dyDescent="0.25">
      <c r="A68" s="4">
        <v>1067</v>
      </c>
      <c r="B68" s="3">
        <v>45421</v>
      </c>
      <c r="C68" s="2" t="s">
        <v>8</v>
      </c>
      <c r="D68" s="2" t="s">
        <v>18</v>
      </c>
      <c r="E68" s="2" t="s">
        <v>10</v>
      </c>
      <c r="F68" s="2">
        <v>16</v>
      </c>
      <c r="G68" s="2">
        <v>770.54</v>
      </c>
      <c r="H68" s="5">
        <v>12328.64</v>
      </c>
    </row>
    <row r="69" spans="1:8" x14ac:dyDescent="0.25">
      <c r="A69" s="4">
        <v>1068</v>
      </c>
      <c r="B69" s="3">
        <v>45374</v>
      </c>
      <c r="C69" s="2" t="s">
        <v>19</v>
      </c>
      <c r="D69" s="2" t="s">
        <v>20</v>
      </c>
      <c r="E69" s="2" t="s">
        <v>21</v>
      </c>
      <c r="F69" s="2">
        <v>11</v>
      </c>
      <c r="G69" s="2">
        <v>766.85</v>
      </c>
      <c r="H69" s="5">
        <v>8435.35</v>
      </c>
    </row>
    <row r="70" spans="1:8" x14ac:dyDescent="0.25">
      <c r="A70" s="4">
        <v>1069</v>
      </c>
      <c r="B70" s="3">
        <v>45519</v>
      </c>
      <c r="C70" s="2" t="s">
        <v>13</v>
      </c>
      <c r="D70" s="2" t="s">
        <v>20</v>
      </c>
      <c r="E70" s="2" t="s">
        <v>16</v>
      </c>
      <c r="F70" s="2">
        <v>11</v>
      </c>
      <c r="G70" s="2">
        <v>833.77</v>
      </c>
      <c r="H70" s="5">
        <v>9171.4699999999993</v>
      </c>
    </row>
    <row r="71" spans="1:8" x14ac:dyDescent="0.25">
      <c r="A71" s="4">
        <v>1070</v>
      </c>
      <c r="B71" s="3">
        <v>45475</v>
      </c>
      <c r="C71" s="2" t="s">
        <v>13</v>
      </c>
      <c r="D71" s="2" t="s">
        <v>15</v>
      </c>
      <c r="E71" s="2" t="s">
        <v>14</v>
      </c>
      <c r="F71" s="2">
        <v>18</v>
      </c>
      <c r="G71" s="2">
        <v>428.61</v>
      </c>
      <c r="H71" s="5">
        <v>7714.98</v>
      </c>
    </row>
    <row r="72" spans="1:8" x14ac:dyDescent="0.25">
      <c r="A72" s="4">
        <v>1071</v>
      </c>
      <c r="B72" s="3">
        <v>45418</v>
      </c>
      <c r="C72" s="2" t="s">
        <v>8</v>
      </c>
      <c r="D72" s="2" t="s">
        <v>20</v>
      </c>
      <c r="E72" s="2" t="s">
        <v>14</v>
      </c>
      <c r="F72" s="2">
        <v>18</v>
      </c>
      <c r="G72" s="2">
        <v>339.91</v>
      </c>
      <c r="H72" s="5">
        <v>6118.38</v>
      </c>
    </row>
    <row r="73" spans="1:8" x14ac:dyDescent="0.25">
      <c r="A73" s="4">
        <v>1072</v>
      </c>
      <c r="B73" s="3">
        <v>45562</v>
      </c>
      <c r="C73" s="2" t="s">
        <v>11</v>
      </c>
      <c r="D73" s="2" t="s">
        <v>15</v>
      </c>
      <c r="E73" s="2" t="s">
        <v>12</v>
      </c>
      <c r="F73" s="2">
        <v>9</v>
      </c>
      <c r="G73" s="2">
        <v>89.03</v>
      </c>
      <c r="H73" s="5">
        <v>801.27</v>
      </c>
    </row>
    <row r="74" spans="1:8" x14ac:dyDescent="0.25">
      <c r="A74" s="4">
        <v>1073</v>
      </c>
      <c r="B74" s="3">
        <v>45625</v>
      </c>
      <c r="C74" s="2" t="s">
        <v>11</v>
      </c>
      <c r="D74" s="2" t="s">
        <v>9</v>
      </c>
      <c r="E74" s="2" t="s">
        <v>16</v>
      </c>
      <c r="F74" s="2">
        <v>4</v>
      </c>
      <c r="G74" s="2">
        <v>419.26</v>
      </c>
      <c r="H74" s="5">
        <v>1677.04</v>
      </c>
    </row>
    <row r="75" spans="1:8" x14ac:dyDescent="0.25">
      <c r="A75" s="4">
        <v>1074</v>
      </c>
      <c r="B75" s="3">
        <v>45494</v>
      </c>
      <c r="C75" s="2" t="s">
        <v>8</v>
      </c>
      <c r="D75" s="2" t="s">
        <v>9</v>
      </c>
      <c r="E75" s="2" t="s">
        <v>21</v>
      </c>
      <c r="F75" s="2">
        <v>3</v>
      </c>
      <c r="G75" s="2">
        <v>1398.95</v>
      </c>
      <c r="H75" s="5">
        <v>4196.8500000000004</v>
      </c>
    </row>
    <row r="76" spans="1:8" x14ac:dyDescent="0.25">
      <c r="A76" s="4">
        <v>1075</v>
      </c>
      <c r="B76" s="3">
        <v>45594</v>
      </c>
      <c r="C76" s="2" t="s">
        <v>17</v>
      </c>
      <c r="D76" s="2" t="s">
        <v>20</v>
      </c>
      <c r="E76" s="2" t="s">
        <v>21</v>
      </c>
      <c r="F76" s="2">
        <v>3</v>
      </c>
      <c r="G76" s="2">
        <v>259.04000000000002</v>
      </c>
      <c r="H76" s="5">
        <v>777.12000000000012</v>
      </c>
    </row>
    <row r="77" spans="1:8" x14ac:dyDescent="0.25">
      <c r="A77" s="4">
        <v>1076</v>
      </c>
      <c r="B77" s="3">
        <v>45624</v>
      </c>
      <c r="C77" s="2" t="s">
        <v>19</v>
      </c>
      <c r="D77" s="2" t="s">
        <v>15</v>
      </c>
      <c r="E77" s="2" t="s">
        <v>21</v>
      </c>
      <c r="F77" s="2">
        <v>5</v>
      </c>
      <c r="G77" s="2">
        <v>301.2</v>
      </c>
      <c r="H77" s="5">
        <v>1506</v>
      </c>
    </row>
    <row r="78" spans="1:8" x14ac:dyDescent="0.25">
      <c r="A78" s="4">
        <v>1077</v>
      </c>
      <c r="B78" s="3">
        <v>45564</v>
      </c>
      <c r="C78" s="2" t="s">
        <v>19</v>
      </c>
      <c r="D78" s="2" t="s">
        <v>18</v>
      </c>
      <c r="E78" s="2" t="s">
        <v>14</v>
      </c>
      <c r="F78" s="2">
        <v>7</v>
      </c>
      <c r="G78" s="2">
        <v>489.05</v>
      </c>
      <c r="H78" s="5">
        <v>3423.35</v>
      </c>
    </row>
    <row r="79" spans="1:8" x14ac:dyDescent="0.25">
      <c r="A79" s="4">
        <v>1078</v>
      </c>
      <c r="B79" s="3">
        <v>45497</v>
      </c>
      <c r="C79" s="2" t="s">
        <v>13</v>
      </c>
      <c r="D79" s="2" t="s">
        <v>15</v>
      </c>
      <c r="E79" s="2" t="s">
        <v>12</v>
      </c>
      <c r="F79" s="2">
        <v>5</v>
      </c>
      <c r="G79" s="2">
        <v>1346.03</v>
      </c>
      <c r="H79" s="5">
        <v>6730.15</v>
      </c>
    </row>
    <row r="80" spans="1:8" x14ac:dyDescent="0.25">
      <c r="A80" s="4">
        <v>1079</v>
      </c>
      <c r="B80" s="3">
        <v>45488</v>
      </c>
      <c r="C80" s="2" t="s">
        <v>8</v>
      </c>
      <c r="D80" s="2" t="s">
        <v>15</v>
      </c>
      <c r="E80" s="2" t="s">
        <v>14</v>
      </c>
      <c r="F80" s="2">
        <v>17</v>
      </c>
      <c r="G80" s="2">
        <v>1355.68</v>
      </c>
      <c r="H80" s="5">
        <v>23046.560000000001</v>
      </c>
    </row>
    <row r="81" spans="1:8" x14ac:dyDescent="0.25">
      <c r="A81" s="4">
        <v>1080</v>
      </c>
      <c r="B81" s="3">
        <v>45294</v>
      </c>
      <c r="C81" s="2" t="s">
        <v>19</v>
      </c>
      <c r="D81" s="2" t="s">
        <v>9</v>
      </c>
      <c r="E81" s="2" t="s">
        <v>16</v>
      </c>
      <c r="F81" s="2">
        <v>13</v>
      </c>
      <c r="G81" s="2">
        <v>110.66</v>
      </c>
      <c r="H81" s="5">
        <v>1438.58</v>
      </c>
    </row>
    <row r="82" spans="1:8" x14ac:dyDescent="0.25">
      <c r="A82" s="4">
        <v>1081</v>
      </c>
      <c r="B82" s="3">
        <v>45648</v>
      </c>
      <c r="C82" s="2" t="s">
        <v>17</v>
      </c>
      <c r="D82" s="2" t="s">
        <v>15</v>
      </c>
      <c r="E82" s="2" t="s">
        <v>21</v>
      </c>
      <c r="F82" s="2">
        <v>17</v>
      </c>
      <c r="G82" s="2">
        <v>688.82</v>
      </c>
      <c r="H82" s="5">
        <v>11709.94</v>
      </c>
    </row>
    <row r="83" spans="1:8" x14ac:dyDescent="0.25">
      <c r="A83" s="4">
        <v>1082</v>
      </c>
      <c r="B83" s="3">
        <v>45422</v>
      </c>
      <c r="C83" s="2" t="s">
        <v>11</v>
      </c>
      <c r="D83" s="2" t="s">
        <v>18</v>
      </c>
      <c r="E83" s="2" t="s">
        <v>21</v>
      </c>
      <c r="F83" s="2">
        <v>8</v>
      </c>
      <c r="G83" s="2">
        <v>262.13</v>
      </c>
      <c r="H83" s="5">
        <v>2097.04</v>
      </c>
    </row>
    <row r="84" spans="1:8" x14ac:dyDescent="0.25">
      <c r="A84" s="4">
        <v>1083</v>
      </c>
      <c r="B84" s="3">
        <v>45373</v>
      </c>
      <c r="C84" s="2" t="s">
        <v>13</v>
      </c>
      <c r="D84" s="2" t="s">
        <v>9</v>
      </c>
      <c r="E84" s="2" t="s">
        <v>21</v>
      </c>
      <c r="F84" s="2">
        <v>19</v>
      </c>
      <c r="G84" s="2">
        <v>270.33</v>
      </c>
      <c r="H84" s="5">
        <v>5136.2700000000004</v>
      </c>
    </row>
    <row r="85" spans="1:8" x14ac:dyDescent="0.25">
      <c r="A85" s="4">
        <v>1084</v>
      </c>
      <c r="B85" s="3">
        <v>45620</v>
      </c>
      <c r="C85" s="2" t="s">
        <v>13</v>
      </c>
      <c r="D85" s="2" t="s">
        <v>18</v>
      </c>
      <c r="E85" s="2" t="s">
        <v>12</v>
      </c>
      <c r="F85" s="2">
        <v>4</v>
      </c>
      <c r="G85" s="2">
        <v>398.77</v>
      </c>
      <c r="H85" s="5">
        <v>1595.08</v>
      </c>
    </row>
    <row r="86" spans="1:8" x14ac:dyDescent="0.25">
      <c r="A86" s="4">
        <v>1085</v>
      </c>
      <c r="B86" s="3">
        <v>45519</v>
      </c>
      <c r="C86" s="2" t="s">
        <v>11</v>
      </c>
      <c r="D86" s="2" t="s">
        <v>18</v>
      </c>
      <c r="E86" s="2" t="s">
        <v>21</v>
      </c>
      <c r="F86" s="2">
        <v>17</v>
      </c>
      <c r="G86" s="2">
        <v>967.94</v>
      </c>
      <c r="H86" s="5">
        <v>16454.98</v>
      </c>
    </row>
    <row r="87" spans="1:8" x14ac:dyDescent="0.25">
      <c r="A87" s="4">
        <v>1086</v>
      </c>
      <c r="B87" s="3">
        <v>45482</v>
      </c>
      <c r="C87" s="2" t="s">
        <v>19</v>
      </c>
      <c r="D87" s="2" t="s">
        <v>9</v>
      </c>
      <c r="E87" s="2" t="s">
        <v>12</v>
      </c>
      <c r="F87" s="2">
        <v>17</v>
      </c>
      <c r="G87" s="2">
        <v>491.03</v>
      </c>
      <c r="H87" s="5">
        <v>8347.51</v>
      </c>
    </row>
    <row r="88" spans="1:8" x14ac:dyDescent="0.25">
      <c r="A88" s="4">
        <v>1087</v>
      </c>
      <c r="B88" s="3">
        <v>45343</v>
      </c>
      <c r="C88" s="2" t="s">
        <v>8</v>
      </c>
      <c r="D88" s="2" t="s">
        <v>9</v>
      </c>
      <c r="E88" s="2" t="s">
        <v>10</v>
      </c>
      <c r="F88" s="2">
        <v>13</v>
      </c>
      <c r="G88" s="2">
        <v>549.24</v>
      </c>
      <c r="H88" s="5">
        <v>7140.12</v>
      </c>
    </row>
    <row r="89" spans="1:8" x14ac:dyDescent="0.25">
      <c r="A89" s="4">
        <v>1088</v>
      </c>
      <c r="B89" s="3">
        <v>45355</v>
      </c>
      <c r="C89" s="2" t="s">
        <v>13</v>
      </c>
      <c r="D89" s="2" t="s">
        <v>9</v>
      </c>
      <c r="E89" s="2" t="s">
        <v>12</v>
      </c>
      <c r="F89" s="2">
        <v>11</v>
      </c>
      <c r="G89" s="2">
        <v>871.43</v>
      </c>
      <c r="H89" s="5">
        <v>9585.73</v>
      </c>
    </row>
    <row r="90" spans="1:8" x14ac:dyDescent="0.25">
      <c r="A90" s="4">
        <v>1089</v>
      </c>
      <c r="B90" s="3">
        <v>45536</v>
      </c>
      <c r="C90" s="2" t="s">
        <v>11</v>
      </c>
      <c r="D90" s="2" t="s">
        <v>18</v>
      </c>
      <c r="E90" s="2" t="s">
        <v>10</v>
      </c>
      <c r="F90" s="2">
        <v>14</v>
      </c>
      <c r="G90" s="2">
        <v>754.52</v>
      </c>
      <c r="H90" s="5">
        <v>10563.28</v>
      </c>
    </row>
    <row r="91" spans="1:8" x14ac:dyDescent="0.25">
      <c r="A91" s="4">
        <v>1090</v>
      </c>
      <c r="B91" s="3">
        <v>45457</v>
      </c>
      <c r="C91" s="2" t="s">
        <v>13</v>
      </c>
      <c r="D91" s="2" t="s">
        <v>18</v>
      </c>
      <c r="E91" s="2" t="s">
        <v>16</v>
      </c>
      <c r="F91" s="2">
        <v>4</v>
      </c>
      <c r="G91" s="2">
        <v>738.77</v>
      </c>
      <c r="H91" s="5">
        <v>2955.08</v>
      </c>
    </row>
    <row r="92" spans="1:8" x14ac:dyDescent="0.25">
      <c r="A92" s="4">
        <v>1091</v>
      </c>
      <c r="B92" s="3">
        <v>45554</v>
      </c>
      <c r="C92" s="2" t="s">
        <v>19</v>
      </c>
      <c r="D92" s="2" t="s">
        <v>15</v>
      </c>
      <c r="E92" s="2" t="s">
        <v>12</v>
      </c>
      <c r="F92" s="2">
        <v>16</v>
      </c>
      <c r="G92" s="2">
        <v>137.6</v>
      </c>
      <c r="H92" s="5">
        <v>2201.6</v>
      </c>
    </row>
    <row r="93" spans="1:8" x14ac:dyDescent="0.25">
      <c r="A93" s="4">
        <v>1092</v>
      </c>
      <c r="B93" s="3">
        <v>45520</v>
      </c>
      <c r="C93" s="2" t="s">
        <v>8</v>
      </c>
      <c r="D93" s="2" t="s">
        <v>9</v>
      </c>
      <c r="E93" s="2" t="s">
        <v>12</v>
      </c>
      <c r="F93" s="2">
        <v>18</v>
      </c>
      <c r="G93" s="2">
        <v>914.08</v>
      </c>
      <c r="H93" s="5">
        <v>16453.439999999999</v>
      </c>
    </row>
    <row r="94" spans="1:8" x14ac:dyDescent="0.25">
      <c r="A94" s="4">
        <v>1093</v>
      </c>
      <c r="B94" s="3">
        <v>45414</v>
      </c>
      <c r="C94" s="2" t="s">
        <v>17</v>
      </c>
      <c r="D94" s="2" t="s">
        <v>9</v>
      </c>
      <c r="E94" s="2" t="s">
        <v>10</v>
      </c>
      <c r="F94" s="2">
        <v>6</v>
      </c>
      <c r="G94" s="2">
        <v>449.8</v>
      </c>
      <c r="H94" s="5">
        <v>2698.8</v>
      </c>
    </row>
    <row r="95" spans="1:8" x14ac:dyDescent="0.25">
      <c r="A95" s="4">
        <v>1094</v>
      </c>
      <c r="B95" s="3">
        <v>45414</v>
      </c>
      <c r="C95" s="2" t="s">
        <v>19</v>
      </c>
      <c r="D95" s="2" t="s">
        <v>9</v>
      </c>
      <c r="E95" s="2" t="s">
        <v>21</v>
      </c>
      <c r="F95" s="2">
        <v>6</v>
      </c>
      <c r="G95" s="2">
        <v>371.85</v>
      </c>
      <c r="H95" s="5">
        <v>2231.1</v>
      </c>
    </row>
    <row r="96" spans="1:8" x14ac:dyDescent="0.25">
      <c r="A96" s="4">
        <v>1095</v>
      </c>
      <c r="B96" s="3">
        <v>45453</v>
      </c>
      <c r="C96" s="2" t="s">
        <v>17</v>
      </c>
      <c r="D96" s="2" t="s">
        <v>15</v>
      </c>
      <c r="E96" s="2" t="s">
        <v>16</v>
      </c>
      <c r="F96" s="2">
        <v>2</v>
      </c>
      <c r="G96" s="2">
        <v>640.83000000000004</v>
      </c>
      <c r="H96" s="5">
        <v>1281.6600000000001</v>
      </c>
    </row>
    <row r="97" spans="1:8" x14ac:dyDescent="0.25">
      <c r="A97" s="4">
        <v>1096</v>
      </c>
      <c r="B97" s="3">
        <v>45338</v>
      </c>
      <c r="C97" s="2" t="s">
        <v>11</v>
      </c>
      <c r="D97" s="2" t="s">
        <v>9</v>
      </c>
      <c r="E97" s="2" t="s">
        <v>12</v>
      </c>
      <c r="F97" s="2">
        <v>9</v>
      </c>
      <c r="G97" s="2">
        <v>1100.6300000000001</v>
      </c>
      <c r="H97" s="5">
        <v>9905.6700000000019</v>
      </c>
    </row>
    <row r="98" spans="1:8" x14ac:dyDescent="0.25">
      <c r="A98" s="4">
        <v>1097</v>
      </c>
      <c r="B98" s="3">
        <v>45364</v>
      </c>
      <c r="C98" s="2" t="s">
        <v>19</v>
      </c>
      <c r="D98" s="2" t="s">
        <v>18</v>
      </c>
      <c r="E98" s="2" t="s">
        <v>14</v>
      </c>
      <c r="F98" s="2">
        <v>11</v>
      </c>
      <c r="G98" s="2">
        <v>904.9</v>
      </c>
      <c r="H98" s="5">
        <v>9953.9</v>
      </c>
    </row>
    <row r="99" spans="1:8" x14ac:dyDescent="0.25">
      <c r="A99" s="4">
        <v>1098</v>
      </c>
      <c r="B99" s="3">
        <v>45567</v>
      </c>
      <c r="C99" s="2" t="s">
        <v>11</v>
      </c>
      <c r="D99" s="2" t="s">
        <v>15</v>
      </c>
      <c r="E99" s="2" t="s">
        <v>10</v>
      </c>
      <c r="F99" s="2">
        <v>16</v>
      </c>
      <c r="G99" s="2">
        <v>873.78</v>
      </c>
      <c r="H99" s="5">
        <v>13980.48</v>
      </c>
    </row>
    <row r="100" spans="1:8" x14ac:dyDescent="0.25">
      <c r="A100" s="4">
        <v>1099</v>
      </c>
      <c r="B100" s="3">
        <v>45349</v>
      </c>
      <c r="C100" s="2" t="s">
        <v>17</v>
      </c>
      <c r="D100" s="2" t="s">
        <v>15</v>
      </c>
      <c r="E100" s="2" t="s">
        <v>12</v>
      </c>
      <c r="F100" s="2">
        <v>2</v>
      </c>
      <c r="G100" s="2">
        <v>1045.7</v>
      </c>
      <c r="H100" s="5">
        <v>2091.4</v>
      </c>
    </row>
    <row r="101" spans="1:8" x14ac:dyDescent="0.25">
      <c r="A101" s="4">
        <v>1100</v>
      </c>
      <c r="B101" s="3">
        <v>45513</v>
      </c>
      <c r="C101" s="2" t="s">
        <v>8</v>
      </c>
      <c r="D101" s="2" t="s">
        <v>20</v>
      </c>
      <c r="E101" s="2" t="s">
        <v>12</v>
      </c>
      <c r="F101" s="2">
        <v>11</v>
      </c>
      <c r="G101" s="2">
        <v>380.06</v>
      </c>
      <c r="H101" s="5">
        <v>4180.66</v>
      </c>
    </row>
    <row r="102" spans="1:8" x14ac:dyDescent="0.25">
      <c r="A102" s="4">
        <v>1101</v>
      </c>
      <c r="B102" s="3">
        <v>45366</v>
      </c>
      <c r="C102" s="2" t="s">
        <v>17</v>
      </c>
      <c r="D102" s="2" t="s">
        <v>9</v>
      </c>
      <c r="E102" s="2" t="s">
        <v>12</v>
      </c>
      <c r="F102" s="2">
        <v>4</v>
      </c>
      <c r="G102" s="2">
        <v>531.73</v>
      </c>
      <c r="H102" s="5">
        <v>2126.92</v>
      </c>
    </row>
    <row r="103" spans="1:8" x14ac:dyDescent="0.25">
      <c r="A103" s="4">
        <v>1102</v>
      </c>
      <c r="B103" s="3">
        <v>45616</v>
      </c>
      <c r="C103" s="2" t="s">
        <v>19</v>
      </c>
      <c r="D103" s="2" t="s">
        <v>9</v>
      </c>
      <c r="E103" s="2" t="s">
        <v>21</v>
      </c>
      <c r="F103" s="2">
        <v>15</v>
      </c>
      <c r="G103" s="2">
        <v>749.52</v>
      </c>
      <c r="H103" s="5">
        <v>11242.8</v>
      </c>
    </row>
    <row r="104" spans="1:8" x14ac:dyDescent="0.25">
      <c r="A104" s="4">
        <v>1103</v>
      </c>
      <c r="B104" s="3">
        <v>45463</v>
      </c>
      <c r="C104" s="2" t="s">
        <v>19</v>
      </c>
      <c r="D104" s="2" t="s">
        <v>20</v>
      </c>
      <c r="E104" s="2" t="s">
        <v>16</v>
      </c>
      <c r="F104" s="2">
        <v>17</v>
      </c>
      <c r="G104" s="2">
        <v>870.82</v>
      </c>
      <c r="H104" s="5">
        <v>14803.94</v>
      </c>
    </row>
    <row r="105" spans="1:8" x14ac:dyDescent="0.25">
      <c r="A105" s="4">
        <v>1104</v>
      </c>
      <c r="B105" s="3">
        <v>45302</v>
      </c>
      <c r="C105" s="2" t="s">
        <v>19</v>
      </c>
      <c r="D105" s="2" t="s">
        <v>20</v>
      </c>
      <c r="E105" s="2" t="s">
        <v>12</v>
      </c>
      <c r="F105" s="2">
        <v>7</v>
      </c>
      <c r="G105" s="2">
        <v>130.68</v>
      </c>
      <c r="H105" s="5">
        <v>914.76</v>
      </c>
    </row>
    <row r="106" spans="1:8" x14ac:dyDescent="0.25">
      <c r="A106" s="4">
        <v>1105</v>
      </c>
      <c r="B106" s="3">
        <v>45298</v>
      </c>
      <c r="C106" s="2" t="s">
        <v>11</v>
      </c>
      <c r="D106" s="2" t="s">
        <v>20</v>
      </c>
      <c r="E106" s="2" t="s">
        <v>14</v>
      </c>
      <c r="F106" s="2">
        <v>10</v>
      </c>
      <c r="G106" s="2">
        <v>1214.49</v>
      </c>
      <c r="H106" s="5">
        <v>12144.9</v>
      </c>
    </row>
    <row r="107" spans="1:8" x14ac:dyDescent="0.25">
      <c r="A107" s="4">
        <v>1106</v>
      </c>
      <c r="B107" s="3">
        <v>45350</v>
      </c>
      <c r="C107" s="2" t="s">
        <v>8</v>
      </c>
      <c r="D107" s="2" t="s">
        <v>18</v>
      </c>
      <c r="E107" s="2" t="s">
        <v>14</v>
      </c>
      <c r="F107" s="2">
        <v>12</v>
      </c>
      <c r="G107" s="2">
        <v>51.17</v>
      </c>
      <c r="H107" s="5">
        <v>614.04</v>
      </c>
    </row>
    <row r="108" spans="1:8" x14ac:dyDescent="0.25">
      <c r="A108" s="4">
        <v>1107</v>
      </c>
      <c r="B108" s="3">
        <v>45410</v>
      </c>
      <c r="C108" s="2" t="s">
        <v>19</v>
      </c>
      <c r="D108" s="2" t="s">
        <v>9</v>
      </c>
      <c r="E108" s="2" t="s">
        <v>16</v>
      </c>
      <c r="F108" s="2">
        <v>2</v>
      </c>
      <c r="G108" s="2">
        <v>560.42999999999995</v>
      </c>
      <c r="H108" s="5">
        <v>1120.8599999999999</v>
      </c>
    </row>
    <row r="109" spans="1:8" x14ac:dyDescent="0.25">
      <c r="A109" s="4">
        <v>1108</v>
      </c>
      <c r="B109" s="3">
        <v>45423</v>
      </c>
      <c r="C109" s="2" t="s">
        <v>19</v>
      </c>
      <c r="D109" s="2" t="s">
        <v>15</v>
      </c>
      <c r="E109" s="2" t="s">
        <v>14</v>
      </c>
      <c r="F109" s="2">
        <v>7</v>
      </c>
      <c r="G109" s="2">
        <v>1469.62</v>
      </c>
      <c r="H109" s="5">
        <v>10287.34</v>
      </c>
    </row>
    <row r="110" spans="1:8" x14ac:dyDescent="0.25">
      <c r="A110" s="4">
        <v>1109</v>
      </c>
      <c r="B110" s="3">
        <v>45361</v>
      </c>
      <c r="C110" s="2" t="s">
        <v>13</v>
      </c>
      <c r="D110" s="2" t="s">
        <v>18</v>
      </c>
      <c r="E110" s="2" t="s">
        <v>16</v>
      </c>
      <c r="F110" s="2">
        <v>12</v>
      </c>
      <c r="G110" s="2">
        <v>1417.79</v>
      </c>
      <c r="H110" s="5">
        <v>17013.48</v>
      </c>
    </row>
    <row r="111" spans="1:8" x14ac:dyDescent="0.25">
      <c r="A111" s="4">
        <v>1110</v>
      </c>
      <c r="B111" s="3">
        <v>45537</v>
      </c>
      <c r="C111" s="2" t="s">
        <v>19</v>
      </c>
      <c r="D111" s="2" t="s">
        <v>9</v>
      </c>
      <c r="E111" s="2" t="s">
        <v>14</v>
      </c>
      <c r="F111" s="2">
        <v>7</v>
      </c>
      <c r="G111" s="2">
        <v>72.37</v>
      </c>
      <c r="H111" s="5">
        <v>506.59</v>
      </c>
    </row>
    <row r="112" spans="1:8" x14ac:dyDescent="0.25">
      <c r="A112" s="4">
        <v>1111</v>
      </c>
      <c r="B112" s="3">
        <v>45490</v>
      </c>
      <c r="C112" s="2" t="s">
        <v>11</v>
      </c>
      <c r="D112" s="2" t="s">
        <v>9</v>
      </c>
      <c r="E112" s="2" t="s">
        <v>21</v>
      </c>
      <c r="F112" s="2">
        <v>14</v>
      </c>
      <c r="G112" s="2">
        <v>807.39</v>
      </c>
      <c r="H112" s="5">
        <v>11303.46</v>
      </c>
    </row>
    <row r="113" spans="1:8" x14ac:dyDescent="0.25">
      <c r="A113" s="4">
        <v>1112</v>
      </c>
      <c r="B113" s="3">
        <v>45323</v>
      </c>
      <c r="C113" s="2" t="s">
        <v>19</v>
      </c>
      <c r="D113" s="2" t="s">
        <v>15</v>
      </c>
      <c r="E113" s="2" t="s">
        <v>12</v>
      </c>
      <c r="F113" s="2">
        <v>1</v>
      </c>
      <c r="G113" s="2">
        <v>1244.5999999999999</v>
      </c>
      <c r="H113" s="5">
        <v>1244.5999999999999</v>
      </c>
    </row>
    <row r="114" spans="1:8" x14ac:dyDescent="0.25">
      <c r="A114" s="4">
        <v>1113</v>
      </c>
      <c r="B114" s="3">
        <v>45450</v>
      </c>
      <c r="C114" s="2" t="s">
        <v>13</v>
      </c>
      <c r="D114" s="2" t="s">
        <v>18</v>
      </c>
      <c r="E114" s="2" t="s">
        <v>21</v>
      </c>
      <c r="F114" s="2">
        <v>9</v>
      </c>
      <c r="G114" s="2">
        <v>356.91</v>
      </c>
      <c r="H114" s="5">
        <v>3212.19</v>
      </c>
    </row>
    <row r="115" spans="1:8" x14ac:dyDescent="0.25">
      <c r="A115" s="4">
        <v>1114</v>
      </c>
      <c r="B115" s="3">
        <v>45571</v>
      </c>
      <c r="C115" s="2" t="s">
        <v>17</v>
      </c>
      <c r="D115" s="2" t="s">
        <v>20</v>
      </c>
      <c r="E115" s="2" t="s">
        <v>10</v>
      </c>
      <c r="F115" s="2">
        <v>3</v>
      </c>
      <c r="G115" s="2">
        <v>707.86</v>
      </c>
      <c r="H115" s="5">
        <v>2123.58</v>
      </c>
    </row>
    <row r="116" spans="1:8" x14ac:dyDescent="0.25">
      <c r="A116" s="4">
        <v>1115</v>
      </c>
      <c r="B116" s="3">
        <v>45513</v>
      </c>
      <c r="C116" s="2" t="s">
        <v>11</v>
      </c>
      <c r="D116" s="2" t="s">
        <v>18</v>
      </c>
      <c r="E116" s="2" t="s">
        <v>16</v>
      </c>
      <c r="F116" s="2">
        <v>14</v>
      </c>
      <c r="G116" s="2">
        <v>740.32</v>
      </c>
      <c r="H116" s="5">
        <v>10364.48</v>
      </c>
    </row>
    <row r="117" spans="1:8" x14ac:dyDescent="0.25">
      <c r="A117" s="4">
        <v>1116</v>
      </c>
      <c r="B117" s="3">
        <v>45387</v>
      </c>
      <c r="C117" s="2" t="s">
        <v>11</v>
      </c>
      <c r="D117" s="2" t="s">
        <v>9</v>
      </c>
      <c r="E117" s="2" t="s">
        <v>12</v>
      </c>
      <c r="F117" s="2">
        <v>15</v>
      </c>
      <c r="G117" s="2">
        <v>829.22</v>
      </c>
      <c r="H117" s="5">
        <v>12438.3</v>
      </c>
    </row>
    <row r="118" spans="1:8" x14ac:dyDescent="0.25">
      <c r="A118" s="4">
        <v>1117</v>
      </c>
      <c r="B118" s="3">
        <v>45453</v>
      </c>
      <c r="C118" s="2" t="s">
        <v>8</v>
      </c>
      <c r="D118" s="2" t="s">
        <v>15</v>
      </c>
      <c r="E118" s="2" t="s">
        <v>10</v>
      </c>
      <c r="F118" s="2">
        <v>14</v>
      </c>
      <c r="G118" s="2">
        <v>575.23</v>
      </c>
      <c r="H118" s="5">
        <v>8053.22</v>
      </c>
    </row>
    <row r="119" spans="1:8" x14ac:dyDescent="0.25">
      <c r="A119" s="4">
        <v>1118</v>
      </c>
      <c r="B119" s="3">
        <v>45567</v>
      </c>
      <c r="C119" s="2" t="s">
        <v>17</v>
      </c>
      <c r="D119" s="2" t="s">
        <v>9</v>
      </c>
      <c r="E119" s="2" t="s">
        <v>16</v>
      </c>
      <c r="F119" s="2">
        <v>13</v>
      </c>
      <c r="G119" s="2">
        <v>1026.97</v>
      </c>
      <c r="H119" s="5">
        <v>13350.61</v>
      </c>
    </row>
    <row r="120" spans="1:8" x14ac:dyDescent="0.25">
      <c r="A120" s="4">
        <v>1119</v>
      </c>
      <c r="B120" s="3">
        <v>45636</v>
      </c>
      <c r="C120" s="2" t="s">
        <v>8</v>
      </c>
      <c r="D120" s="2" t="s">
        <v>15</v>
      </c>
      <c r="E120" s="2" t="s">
        <v>10</v>
      </c>
      <c r="F120" s="2">
        <v>15</v>
      </c>
      <c r="G120" s="2">
        <v>146.33000000000001</v>
      </c>
      <c r="H120" s="5">
        <v>2194.9499999999998</v>
      </c>
    </row>
    <row r="121" spans="1:8" x14ac:dyDescent="0.25">
      <c r="A121" s="4">
        <v>1120</v>
      </c>
      <c r="B121" s="3">
        <v>45319</v>
      </c>
      <c r="C121" s="2" t="s">
        <v>13</v>
      </c>
      <c r="D121" s="2" t="s">
        <v>15</v>
      </c>
      <c r="E121" s="2" t="s">
        <v>10</v>
      </c>
      <c r="F121" s="2">
        <v>12</v>
      </c>
      <c r="G121" s="2">
        <v>1285.6500000000001</v>
      </c>
      <c r="H121" s="5">
        <v>15427.8</v>
      </c>
    </row>
    <row r="122" spans="1:8" x14ac:dyDescent="0.25">
      <c r="A122" s="4">
        <v>1121</v>
      </c>
      <c r="B122" s="3">
        <v>45339</v>
      </c>
      <c r="C122" s="2" t="s">
        <v>11</v>
      </c>
      <c r="D122" s="2" t="s">
        <v>18</v>
      </c>
      <c r="E122" s="2" t="s">
        <v>10</v>
      </c>
      <c r="F122" s="2">
        <v>14</v>
      </c>
      <c r="G122" s="2">
        <v>1483.19</v>
      </c>
      <c r="H122" s="5">
        <v>20764.66</v>
      </c>
    </row>
    <row r="123" spans="1:8" x14ac:dyDescent="0.25">
      <c r="A123" s="4">
        <v>1122</v>
      </c>
      <c r="B123" s="3">
        <v>45616</v>
      </c>
      <c r="C123" s="2" t="s">
        <v>8</v>
      </c>
      <c r="D123" s="2" t="s">
        <v>9</v>
      </c>
      <c r="E123" s="2" t="s">
        <v>14</v>
      </c>
      <c r="F123" s="2">
        <v>7</v>
      </c>
      <c r="G123" s="2">
        <v>397.32</v>
      </c>
      <c r="H123" s="5">
        <v>2781.24</v>
      </c>
    </row>
    <row r="124" spans="1:8" x14ac:dyDescent="0.25">
      <c r="A124" s="4">
        <v>1123</v>
      </c>
      <c r="B124" s="3">
        <v>45525</v>
      </c>
      <c r="C124" s="2" t="s">
        <v>11</v>
      </c>
      <c r="D124" s="2" t="s">
        <v>15</v>
      </c>
      <c r="E124" s="2" t="s">
        <v>16</v>
      </c>
      <c r="F124" s="2">
        <v>9</v>
      </c>
      <c r="G124" s="2">
        <v>1410.7</v>
      </c>
      <c r="H124" s="5">
        <v>12696.3</v>
      </c>
    </row>
    <row r="125" spans="1:8" x14ac:dyDescent="0.25">
      <c r="A125" s="4">
        <v>1124</v>
      </c>
      <c r="B125" s="3">
        <v>45329</v>
      </c>
      <c r="C125" s="2" t="s">
        <v>11</v>
      </c>
      <c r="D125" s="2" t="s">
        <v>9</v>
      </c>
      <c r="E125" s="2" t="s">
        <v>21</v>
      </c>
      <c r="F125" s="2">
        <v>3</v>
      </c>
      <c r="G125" s="2">
        <v>71.099999999999994</v>
      </c>
      <c r="H125" s="5">
        <v>213.3</v>
      </c>
    </row>
    <row r="126" spans="1:8" x14ac:dyDescent="0.25">
      <c r="A126" s="4">
        <v>1125</v>
      </c>
      <c r="B126" s="3">
        <v>45585</v>
      </c>
      <c r="C126" s="2" t="s">
        <v>19</v>
      </c>
      <c r="D126" s="2" t="s">
        <v>20</v>
      </c>
      <c r="E126" s="2" t="s">
        <v>10</v>
      </c>
      <c r="F126" s="2">
        <v>4</v>
      </c>
      <c r="G126" s="2">
        <v>731.95</v>
      </c>
      <c r="H126" s="5">
        <v>2927.8</v>
      </c>
    </row>
    <row r="127" spans="1:8" x14ac:dyDescent="0.25">
      <c r="A127" s="4">
        <v>1126</v>
      </c>
      <c r="B127" s="3">
        <v>45390</v>
      </c>
      <c r="C127" s="2" t="s">
        <v>17</v>
      </c>
      <c r="D127" s="2" t="s">
        <v>15</v>
      </c>
      <c r="E127" s="2" t="s">
        <v>21</v>
      </c>
      <c r="F127" s="2">
        <v>18</v>
      </c>
      <c r="G127" s="2">
        <v>822.44</v>
      </c>
      <c r="H127" s="5">
        <v>14803.92</v>
      </c>
    </row>
    <row r="128" spans="1:8" x14ac:dyDescent="0.25">
      <c r="A128" s="4">
        <v>1127</v>
      </c>
      <c r="B128" s="3">
        <v>45360</v>
      </c>
      <c r="C128" s="2" t="s">
        <v>13</v>
      </c>
      <c r="D128" s="2" t="s">
        <v>15</v>
      </c>
      <c r="E128" s="2" t="s">
        <v>14</v>
      </c>
      <c r="F128" s="2">
        <v>4</v>
      </c>
      <c r="G128" s="2">
        <v>236.32</v>
      </c>
      <c r="H128" s="5">
        <v>945.28</v>
      </c>
    </row>
    <row r="129" spans="1:8" x14ac:dyDescent="0.25">
      <c r="A129" s="4">
        <v>1128</v>
      </c>
      <c r="B129" s="3">
        <v>45645</v>
      </c>
      <c r="C129" s="2" t="s">
        <v>13</v>
      </c>
      <c r="D129" s="2" t="s">
        <v>15</v>
      </c>
      <c r="E129" s="2" t="s">
        <v>21</v>
      </c>
      <c r="F129" s="2">
        <v>17</v>
      </c>
      <c r="G129" s="2">
        <v>1167.3</v>
      </c>
      <c r="H129" s="5">
        <v>19844.099999999999</v>
      </c>
    </row>
    <row r="130" spans="1:8" x14ac:dyDescent="0.25">
      <c r="A130" s="4">
        <v>1129</v>
      </c>
      <c r="B130" s="3">
        <v>45524</v>
      </c>
      <c r="C130" s="2" t="s">
        <v>13</v>
      </c>
      <c r="D130" s="2" t="s">
        <v>9</v>
      </c>
      <c r="E130" s="2" t="s">
        <v>14</v>
      </c>
      <c r="F130" s="2">
        <v>18</v>
      </c>
      <c r="G130" s="2">
        <v>114.09</v>
      </c>
      <c r="H130" s="5">
        <v>2053.62</v>
      </c>
    </row>
    <row r="131" spans="1:8" x14ac:dyDescent="0.25">
      <c r="A131" s="4">
        <v>1130</v>
      </c>
      <c r="B131" s="3">
        <v>45444</v>
      </c>
      <c r="C131" s="2" t="s">
        <v>13</v>
      </c>
      <c r="D131" s="2" t="s">
        <v>20</v>
      </c>
      <c r="E131" s="2" t="s">
        <v>12</v>
      </c>
      <c r="F131" s="2">
        <v>5</v>
      </c>
      <c r="G131" s="2">
        <v>1469.03</v>
      </c>
      <c r="H131" s="5">
        <v>7345.15</v>
      </c>
    </row>
    <row r="132" spans="1:8" x14ac:dyDescent="0.25">
      <c r="A132" s="4">
        <v>1131</v>
      </c>
      <c r="B132" s="3">
        <v>45344</v>
      </c>
      <c r="C132" s="2" t="s">
        <v>19</v>
      </c>
      <c r="D132" s="2" t="s">
        <v>18</v>
      </c>
      <c r="E132" s="2" t="s">
        <v>21</v>
      </c>
      <c r="F132" s="2">
        <v>8</v>
      </c>
      <c r="G132" s="2">
        <v>770.99</v>
      </c>
      <c r="H132" s="5">
        <v>6167.92</v>
      </c>
    </row>
    <row r="133" spans="1:8" x14ac:dyDescent="0.25">
      <c r="A133" s="4">
        <v>1132</v>
      </c>
      <c r="B133" s="3">
        <v>45422</v>
      </c>
      <c r="C133" s="2" t="s">
        <v>8</v>
      </c>
      <c r="D133" s="2" t="s">
        <v>18</v>
      </c>
      <c r="E133" s="2" t="s">
        <v>21</v>
      </c>
      <c r="F133" s="2">
        <v>4</v>
      </c>
      <c r="G133" s="2">
        <v>322.86</v>
      </c>
      <c r="H133" s="5">
        <v>1291.44</v>
      </c>
    </row>
    <row r="134" spans="1:8" x14ac:dyDescent="0.25">
      <c r="A134" s="4">
        <v>1133</v>
      </c>
      <c r="B134" s="3">
        <v>45351</v>
      </c>
      <c r="C134" s="2" t="s">
        <v>17</v>
      </c>
      <c r="D134" s="2" t="s">
        <v>18</v>
      </c>
      <c r="E134" s="2" t="s">
        <v>14</v>
      </c>
      <c r="F134" s="2">
        <v>17</v>
      </c>
      <c r="G134" s="2">
        <v>1006.88</v>
      </c>
      <c r="H134" s="5">
        <v>17116.96</v>
      </c>
    </row>
    <row r="135" spans="1:8" x14ac:dyDescent="0.25">
      <c r="A135" s="4">
        <v>1134</v>
      </c>
      <c r="B135" s="3">
        <v>45301</v>
      </c>
      <c r="C135" s="2" t="s">
        <v>8</v>
      </c>
      <c r="D135" s="2" t="s">
        <v>18</v>
      </c>
      <c r="E135" s="2" t="s">
        <v>14</v>
      </c>
      <c r="F135" s="2">
        <v>11</v>
      </c>
      <c r="G135" s="2">
        <v>135.52000000000001</v>
      </c>
      <c r="H135" s="5">
        <v>1490.72</v>
      </c>
    </row>
    <row r="136" spans="1:8" x14ac:dyDescent="0.25">
      <c r="A136" s="4">
        <v>1135</v>
      </c>
      <c r="B136" s="3">
        <v>45296</v>
      </c>
      <c r="C136" s="2" t="s">
        <v>19</v>
      </c>
      <c r="D136" s="2" t="s">
        <v>20</v>
      </c>
      <c r="E136" s="2" t="s">
        <v>14</v>
      </c>
      <c r="F136" s="2">
        <v>1</v>
      </c>
      <c r="G136" s="2">
        <v>1352.17</v>
      </c>
      <c r="H136" s="5">
        <v>1352.17</v>
      </c>
    </row>
    <row r="137" spans="1:8" x14ac:dyDescent="0.25">
      <c r="A137" s="4">
        <v>1136</v>
      </c>
      <c r="B137" s="3">
        <v>45323</v>
      </c>
      <c r="C137" s="2" t="s">
        <v>19</v>
      </c>
      <c r="D137" s="2" t="s">
        <v>15</v>
      </c>
      <c r="E137" s="2" t="s">
        <v>12</v>
      </c>
      <c r="F137" s="2">
        <v>15</v>
      </c>
      <c r="G137" s="2">
        <v>1450.28</v>
      </c>
      <c r="H137" s="5">
        <v>21754.2</v>
      </c>
    </row>
    <row r="138" spans="1:8" x14ac:dyDescent="0.25">
      <c r="A138" s="4">
        <v>1137</v>
      </c>
      <c r="B138" s="3">
        <v>45380</v>
      </c>
      <c r="C138" s="2" t="s">
        <v>8</v>
      </c>
      <c r="D138" s="2" t="s">
        <v>9</v>
      </c>
      <c r="E138" s="2" t="s">
        <v>12</v>
      </c>
      <c r="F138" s="2">
        <v>15</v>
      </c>
      <c r="G138" s="2">
        <v>492.75</v>
      </c>
      <c r="H138" s="5">
        <v>7391.25</v>
      </c>
    </row>
    <row r="139" spans="1:8" x14ac:dyDescent="0.25">
      <c r="A139" s="4">
        <v>1138</v>
      </c>
      <c r="B139" s="3">
        <v>45329</v>
      </c>
      <c r="C139" s="2" t="s">
        <v>19</v>
      </c>
      <c r="D139" s="2" t="s">
        <v>9</v>
      </c>
      <c r="E139" s="2" t="s">
        <v>21</v>
      </c>
      <c r="F139" s="2">
        <v>6</v>
      </c>
      <c r="G139" s="2">
        <v>770.38</v>
      </c>
      <c r="H139" s="5">
        <v>4622.28</v>
      </c>
    </row>
    <row r="140" spans="1:8" x14ac:dyDescent="0.25">
      <c r="A140" s="4">
        <v>1139</v>
      </c>
      <c r="B140" s="3">
        <v>45618</v>
      </c>
      <c r="C140" s="2" t="s">
        <v>8</v>
      </c>
      <c r="D140" s="2" t="s">
        <v>18</v>
      </c>
      <c r="E140" s="2" t="s">
        <v>12</v>
      </c>
      <c r="F140" s="2">
        <v>11</v>
      </c>
      <c r="G140" s="2">
        <v>868.03</v>
      </c>
      <c r="H140" s="5">
        <v>9548.33</v>
      </c>
    </row>
    <row r="141" spans="1:8" x14ac:dyDescent="0.25">
      <c r="A141" s="4">
        <v>1140</v>
      </c>
      <c r="B141" s="3">
        <v>45603</v>
      </c>
      <c r="C141" s="2" t="s">
        <v>19</v>
      </c>
      <c r="D141" s="2" t="s">
        <v>15</v>
      </c>
      <c r="E141" s="2" t="s">
        <v>14</v>
      </c>
      <c r="F141" s="2">
        <v>5</v>
      </c>
      <c r="G141" s="2">
        <v>421.42</v>
      </c>
      <c r="H141" s="5">
        <v>2107.1</v>
      </c>
    </row>
    <row r="142" spans="1:8" x14ac:dyDescent="0.25">
      <c r="A142" s="4">
        <v>1141</v>
      </c>
      <c r="B142" s="3">
        <v>45497</v>
      </c>
      <c r="C142" s="2" t="s">
        <v>13</v>
      </c>
      <c r="D142" s="2" t="s">
        <v>20</v>
      </c>
      <c r="E142" s="2" t="s">
        <v>10</v>
      </c>
      <c r="F142" s="2">
        <v>18</v>
      </c>
      <c r="G142" s="2">
        <v>1333.77</v>
      </c>
      <c r="H142" s="5">
        <v>24007.86</v>
      </c>
    </row>
    <row r="143" spans="1:8" x14ac:dyDescent="0.25">
      <c r="A143" s="4">
        <v>1142</v>
      </c>
      <c r="B143" s="3">
        <v>45652</v>
      </c>
      <c r="C143" s="2" t="s">
        <v>11</v>
      </c>
      <c r="D143" s="2" t="s">
        <v>9</v>
      </c>
      <c r="E143" s="2" t="s">
        <v>10</v>
      </c>
      <c r="F143" s="2">
        <v>15</v>
      </c>
      <c r="G143" s="2">
        <v>1325.94</v>
      </c>
      <c r="H143" s="5">
        <v>19889.099999999999</v>
      </c>
    </row>
    <row r="144" spans="1:8" x14ac:dyDescent="0.25">
      <c r="A144" s="4">
        <v>1143</v>
      </c>
      <c r="B144" s="3">
        <v>45335</v>
      </c>
      <c r="C144" s="2" t="s">
        <v>17</v>
      </c>
      <c r="D144" s="2" t="s">
        <v>9</v>
      </c>
      <c r="E144" s="2" t="s">
        <v>16</v>
      </c>
      <c r="F144" s="2">
        <v>10</v>
      </c>
      <c r="G144" s="2">
        <v>973.14</v>
      </c>
      <c r="H144" s="5">
        <v>9731.4</v>
      </c>
    </row>
    <row r="145" spans="1:8" x14ac:dyDescent="0.25">
      <c r="A145" s="4">
        <v>1144</v>
      </c>
      <c r="B145" s="3">
        <v>45315</v>
      </c>
      <c r="C145" s="2" t="s">
        <v>17</v>
      </c>
      <c r="D145" s="2" t="s">
        <v>20</v>
      </c>
      <c r="E145" s="2" t="s">
        <v>16</v>
      </c>
      <c r="F145" s="2">
        <v>16</v>
      </c>
      <c r="G145" s="2">
        <v>740.77</v>
      </c>
      <c r="H145" s="5">
        <v>11852.32</v>
      </c>
    </row>
    <row r="146" spans="1:8" x14ac:dyDescent="0.25">
      <c r="A146" s="4">
        <v>1145</v>
      </c>
      <c r="B146" s="3">
        <v>45456</v>
      </c>
      <c r="C146" s="2" t="s">
        <v>19</v>
      </c>
      <c r="D146" s="2" t="s">
        <v>15</v>
      </c>
      <c r="E146" s="2" t="s">
        <v>16</v>
      </c>
      <c r="F146" s="2">
        <v>18</v>
      </c>
      <c r="G146" s="2">
        <v>1148.7</v>
      </c>
      <c r="H146" s="5">
        <v>20676.599999999999</v>
      </c>
    </row>
    <row r="147" spans="1:8" x14ac:dyDescent="0.25">
      <c r="A147" s="4">
        <v>1146</v>
      </c>
      <c r="B147" s="3">
        <v>45374</v>
      </c>
      <c r="C147" s="2" t="s">
        <v>17</v>
      </c>
      <c r="D147" s="2" t="s">
        <v>9</v>
      </c>
      <c r="E147" s="2" t="s">
        <v>14</v>
      </c>
      <c r="F147" s="2">
        <v>7</v>
      </c>
      <c r="G147" s="2">
        <v>1461.8</v>
      </c>
      <c r="H147" s="5">
        <v>10232.6</v>
      </c>
    </row>
    <row r="148" spans="1:8" x14ac:dyDescent="0.25">
      <c r="A148" s="4">
        <v>1147</v>
      </c>
      <c r="B148" s="3">
        <v>45501</v>
      </c>
      <c r="C148" s="2" t="s">
        <v>13</v>
      </c>
      <c r="D148" s="2" t="s">
        <v>18</v>
      </c>
      <c r="E148" s="2" t="s">
        <v>12</v>
      </c>
      <c r="F148" s="2">
        <v>7</v>
      </c>
      <c r="G148" s="2">
        <v>944.42</v>
      </c>
      <c r="H148" s="5">
        <v>6610.94</v>
      </c>
    </row>
    <row r="149" spans="1:8" x14ac:dyDescent="0.25">
      <c r="A149" s="4">
        <v>1148</v>
      </c>
      <c r="B149" s="3">
        <v>45505</v>
      </c>
      <c r="C149" s="2" t="s">
        <v>19</v>
      </c>
      <c r="D149" s="2" t="s">
        <v>20</v>
      </c>
      <c r="E149" s="2" t="s">
        <v>14</v>
      </c>
      <c r="F149" s="2">
        <v>19</v>
      </c>
      <c r="G149" s="2">
        <v>717.68</v>
      </c>
      <c r="H149" s="5">
        <v>13635.92</v>
      </c>
    </row>
    <row r="150" spans="1:8" x14ac:dyDescent="0.25">
      <c r="A150" s="4">
        <v>1149</v>
      </c>
      <c r="B150" s="3">
        <v>45293</v>
      </c>
      <c r="C150" s="2" t="s">
        <v>19</v>
      </c>
      <c r="D150" s="2" t="s">
        <v>9</v>
      </c>
      <c r="E150" s="2" t="s">
        <v>10</v>
      </c>
      <c r="F150" s="2">
        <v>1</v>
      </c>
      <c r="G150" s="2">
        <v>852.33</v>
      </c>
      <c r="H150" s="5">
        <v>852.33</v>
      </c>
    </row>
    <row r="151" spans="1:8" x14ac:dyDescent="0.25">
      <c r="A151" s="4">
        <v>1150</v>
      </c>
      <c r="B151" s="3">
        <v>45544</v>
      </c>
      <c r="C151" s="2" t="s">
        <v>8</v>
      </c>
      <c r="D151" s="2" t="s">
        <v>18</v>
      </c>
      <c r="E151" s="2" t="s">
        <v>14</v>
      </c>
      <c r="F151" s="2">
        <v>1</v>
      </c>
      <c r="G151" s="2">
        <v>1096.92</v>
      </c>
      <c r="H151" s="5">
        <v>1096.92</v>
      </c>
    </row>
    <row r="152" spans="1:8" x14ac:dyDescent="0.25">
      <c r="A152" s="4">
        <v>1151</v>
      </c>
      <c r="B152" s="3">
        <v>45350</v>
      </c>
      <c r="C152" s="2" t="s">
        <v>8</v>
      </c>
      <c r="D152" s="2" t="s">
        <v>15</v>
      </c>
      <c r="E152" s="2" t="s">
        <v>21</v>
      </c>
      <c r="F152" s="2">
        <v>9</v>
      </c>
      <c r="G152" s="2">
        <v>489.68</v>
      </c>
      <c r="H152" s="5">
        <v>4407.12</v>
      </c>
    </row>
    <row r="153" spans="1:8" x14ac:dyDescent="0.25">
      <c r="A153" s="4">
        <v>1152</v>
      </c>
      <c r="B153" s="3">
        <v>45474</v>
      </c>
      <c r="C153" s="2" t="s">
        <v>11</v>
      </c>
      <c r="D153" s="2" t="s">
        <v>9</v>
      </c>
      <c r="E153" s="2" t="s">
        <v>12</v>
      </c>
      <c r="F153" s="2">
        <v>12</v>
      </c>
      <c r="G153" s="2">
        <v>1496.1</v>
      </c>
      <c r="H153" s="5">
        <v>17953.2</v>
      </c>
    </row>
    <row r="154" spans="1:8" x14ac:dyDescent="0.25">
      <c r="A154" s="4">
        <v>1153</v>
      </c>
      <c r="B154" s="3">
        <v>45395</v>
      </c>
      <c r="C154" s="2" t="s">
        <v>8</v>
      </c>
      <c r="D154" s="2" t="s">
        <v>9</v>
      </c>
      <c r="E154" s="2" t="s">
        <v>10</v>
      </c>
      <c r="F154" s="2">
        <v>11</v>
      </c>
      <c r="G154" s="2">
        <v>1214.54</v>
      </c>
      <c r="H154" s="5">
        <v>13359.94</v>
      </c>
    </row>
    <row r="155" spans="1:8" x14ac:dyDescent="0.25">
      <c r="A155" s="4">
        <v>1154</v>
      </c>
      <c r="B155" s="3">
        <v>45473</v>
      </c>
      <c r="C155" s="2" t="s">
        <v>19</v>
      </c>
      <c r="D155" s="2" t="s">
        <v>9</v>
      </c>
      <c r="E155" s="2" t="s">
        <v>16</v>
      </c>
      <c r="F155" s="2">
        <v>8</v>
      </c>
      <c r="G155" s="2">
        <v>1142.6400000000001</v>
      </c>
      <c r="H155" s="5">
        <v>9141.1200000000008</v>
      </c>
    </row>
    <row r="156" spans="1:8" x14ac:dyDescent="0.25">
      <c r="A156" s="4">
        <v>1155</v>
      </c>
      <c r="B156" s="3">
        <v>45603</v>
      </c>
      <c r="C156" s="2" t="s">
        <v>11</v>
      </c>
      <c r="D156" s="2" t="s">
        <v>15</v>
      </c>
      <c r="E156" s="2" t="s">
        <v>12</v>
      </c>
      <c r="F156" s="2">
        <v>6</v>
      </c>
      <c r="G156" s="2">
        <v>1236.58</v>
      </c>
      <c r="H156" s="5">
        <v>7419.48</v>
      </c>
    </row>
    <row r="157" spans="1:8" x14ac:dyDescent="0.25">
      <c r="A157" s="4">
        <v>1156</v>
      </c>
      <c r="B157" s="3">
        <v>45477</v>
      </c>
      <c r="C157" s="2" t="s">
        <v>19</v>
      </c>
      <c r="D157" s="2" t="s">
        <v>15</v>
      </c>
      <c r="E157" s="2" t="s">
        <v>10</v>
      </c>
      <c r="F157" s="2">
        <v>9</v>
      </c>
      <c r="G157" s="2">
        <v>362.9</v>
      </c>
      <c r="H157" s="5">
        <v>3266.1</v>
      </c>
    </row>
    <row r="158" spans="1:8" x14ac:dyDescent="0.25">
      <c r="A158" s="4">
        <v>1157</v>
      </c>
      <c r="B158" s="3">
        <v>45467</v>
      </c>
      <c r="C158" s="2" t="s">
        <v>8</v>
      </c>
      <c r="D158" s="2" t="s">
        <v>9</v>
      </c>
      <c r="E158" s="2" t="s">
        <v>16</v>
      </c>
      <c r="F158" s="2">
        <v>6</v>
      </c>
      <c r="G158" s="2">
        <v>435.69</v>
      </c>
      <c r="H158" s="5">
        <v>2614.14</v>
      </c>
    </row>
    <row r="159" spans="1:8" x14ac:dyDescent="0.25">
      <c r="A159" s="4">
        <v>1158</v>
      </c>
      <c r="B159" s="3">
        <v>45361</v>
      </c>
      <c r="C159" s="2" t="s">
        <v>13</v>
      </c>
      <c r="D159" s="2" t="s">
        <v>15</v>
      </c>
      <c r="E159" s="2" t="s">
        <v>16</v>
      </c>
      <c r="F159" s="2">
        <v>6</v>
      </c>
      <c r="G159" s="2">
        <v>174.51</v>
      </c>
      <c r="H159" s="5">
        <v>1047.06</v>
      </c>
    </row>
    <row r="160" spans="1:8" x14ac:dyDescent="0.25">
      <c r="A160" s="4">
        <v>1159</v>
      </c>
      <c r="B160" s="3">
        <v>45404</v>
      </c>
      <c r="C160" s="2" t="s">
        <v>11</v>
      </c>
      <c r="D160" s="2" t="s">
        <v>20</v>
      </c>
      <c r="E160" s="2" t="s">
        <v>14</v>
      </c>
      <c r="F160" s="2">
        <v>2</v>
      </c>
      <c r="G160" s="2">
        <v>59.1</v>
      </c>
      <c r="H160" s="5">
        <v>118.2</v>
      </c>
    </row>
    <row r="161" spans="1:8" x14ac:dyDescent="0.25">
      <c r="A161" s="4">
        <v>1160</v>
      </c>
      <c r="B161" s="3">
        <v>45621</v>
      </c>
      <c r="C161" s="2" t="s">
        <v>13</v>
      </c>
      <c r="D161" s="2" t="s">
        <v>18</v>
      </c>
      <c r="E161" s="2" t="s">
        <v>10</v>
      </c>
      <c r="F161" s="2">
        <v>7</v>
      </c>
      <c r="G161" s="2">
        <v>533.47</v>
      </c>
      <c r="H161" s="5">
        <v>3734.29</v>
      </c>
    </row>
    <row r="162" spans="1:8" x14ac:dyDescent="0.25">
      <c r="A162" s="4">
        <v>1161</v>
      </c>
      <c r="B162" s="3">
        <v>45579</v>
      </c>
      <c r="C162" s="2" t="s">
        <v>19</v>
      </c>
      <c r="D162" s="2" t="s">
        <v>9</v>
      </c>
      <c r="E162" s="2" t="s">
        <v>10</v>
      </c>
      <c r="F162" s="2">
        <v>17</v>
      </c>
      <c r="G162" s="2">
        <v>135.49</v>
      </c>
      <c r="H162" s="5">
        <v>2303.33</v>
      </c>
    </row>
    <row r="163" spans="1:8" x14ac:dyDescent="0.25">
      <c r="A163" s="4">
        <v>1162</v>
      </c>
      <c r="B163" s="3">
        <v>45543</v>
      </c>
      <c r="C163" s="2" t="s">
        <v>8</v>
      </c>
      <c r="D163" s="2" t="s">
        <v>20</v>
      </c>
      <c r="E163" s="2" t="s">
        <v>14</v>
      </c>
      <c r="F163" s="2">
        <v>9</v>
      </c>
      <c r="G163" s="2">
        <v>350.99</v>
      </c>
      <c r="H163" s="5">
        <v>3158.91</v>
      </c>
    </row>
    <row r="164" spans="1:8" x14ac:dyDescent="0.25">
      <c r="A164" s="4">
        <v>1163</v>
      </c>
      <c r="B164" s="3">
        <v>45507</v>
      </c>
      <c r="C164" s="2" t="s">
        <v>13</v>
      </c>
      <c r="D164" s="2" t="s">
        <v>18</v>
      </c>
      <c r="E164" s="2" t="s">
        <v>14</v>
      </c>
      <c r="F164" s="2">
        <v>17</v>
      </c>
      <c r="G164" s="2">
        <v>1180.75</v>
      </c>
      <c r="H164" s="5">
        <v>20072.75</v>
      </c>
    </row>
    <row r="165" spans="1:8" x14ac:dyDescent="0.25">
      <c r="A165" s="4">
        <v>1164</v>
      </c>
      <c r="B165" s="3">
        <v>45528</v>
      </c>
      <c r="C165" s="2" t="s">
        <v>17</v>
      </c>
      <c r="D165" s="2" t="s">
        <v>18</v>
      </c>
      <c r="E165" s="2" t="s">
        <v>16</v>
      </c>
      <c r="F165" s="2">
        <v>11</v>
      </c>
      <c r="G165" s="2">
        <v>1127.8800000000001</v>
      </c>
      <c r="H165" s="5">
        <v>12406.68</v>
      </c>
    </row>
    <row r="166" spans="1:8" x14ac:dyDescent="0.25">
      <c r="A166" s="4">
        <v>1165</v>
      </c>
      <c r="B166" s="3">
        <v>45352</v>
      </c>
      <c r="C166" s="2" t="s">
        <v>8</v>
      </c>
      <c r="D166" s="2" t="s">
        <v>15</v>
      </c>
      <c r="E166" s="2" t="s">
        <v>21</v>
      </c>
      <c r="F166" s="2">
        <v>19</v>
      </c>
      <c r="G166" s="2">
        <v>582.25</v>
      </c>
      <c r="H166" s="5">
        <v>11062.75</v>
      </c>
    </row>
    <row r="167" spans="1:8" x14ac:dyDescent="0.25">
      <c r="A167" s="4">
        <v>1166</v>
      </c>
      <c r="B167" s="3">
        <v>45432</v>
      </c>
      <c r="C167" s="2" t="s">
        <v>11</v>
      </c>
      <c r="D167" s="2" t="s">
        <v>20</v>
      </c>
      <c r="E167" s="2" t="s">
        <v>14</v>
      </c>
      <c r="F167" s="2">
        <v>7</v>
      </c>
      <c r="G167" s="2">
        <v>689.25</v>
      </c>
      <c r="H167" s="5">
        <v>4824.75</v>
      </c>
    </row>
    <row r="168" spans="1:8" x14ac:dyDescent="0.25">
      <c r="A168" s="4">
        <v>1167</v>
      </c>
      <c r="B168" s="3">
        <v>45443</v>
      </c>
      <c r="C168" s="2" t="s">
        <v>17</v>
      </c>
      <c r="D168" s="2" t="s">
        <v>15</v>
      </c>
      <c r="E168" s="2" t="s">
        <v>16</v>
      </c>
      <c r="F168" s="2">
        <v>18</v>
      </c>
      <c r="G168" s="2">
        <v>578.67999999999995</v>
      </c>
      <c r="H168" s="5">
        <v>10416.24</v>
      </c>
    </row>
    <row r="169" spans="1:8" x14ac:dyDescent="0.25">
      <c r="A169" s="4">
        <v>1168</v>
      </c>
      <c r="B169" s="3">
        <v>45528</v>
      </c>
      <c r="C169" s="2" t="s">
        <v>8</v>
      </c>
      <c r="D169" s="2" t="s">
        <v>9</v>
      </c>
      <c r="E169" s="2" t="s">
        <v>12</v>
      </c>
      <c r="F169" s="2">
        <v>9</v>
      </c>
      <c r="G169" s="2">
        <v>292.83999999999997</v>
      </c>
      <c r="H169" s="5">
        <v>2635.56</v>
      </c>
    </row>
    <row r="170" spans="1:8" x14ac:dyDescent="0.25">
      <c r="A170" s="4">
        <v>1169</v>
      </c>
      <c r="B170" s="3">
        <v>45347</v>
      </c>
      <c r="C170" s="2" t="s">
        <v>11</v>
      </c>
      <c r="D170" s="2" t="s">
        <v>9</v>
      </c>
      <c r="E170" s="2" t="s">
        <v>16</v>
      </c>
      <c r="F170" s="2">
        <v>16</v>
      </c>
      <c r="G170" s="2">
        <v>1469.49</v>
      </c>
      <c r="H170" s="5">
        <v>23511.84</v>
      </c>
    </row>
    <row r="171" spans="1:8" x14ac:dyDescent="0.25">
      <c r="A171" s="4">
        <v>1170</v>
      </c>
      <c r="B171" s="3">
        <v>45292</v>
      </c>
      <c r="C171" s="2" t="s">
        <v>11</v>
      </c>
      <c r="D171" s="2" t="s">
        <v>20</v>
      </c>
      <c r="E171" s="2" t="s">
        <v>14</v>
      </c>
      <c r="F171" s="2">
        <v>15</v>
      </c>
      <c r="G171" s="2">
        <v>1129.0899999999999</v>
      </c>
      <c r="H171" s="5">
        <v>16936.349999999999</v>
      </c>
    </row>
    <row r="172" spans="1:8" x14ac:dyDescent="0.25">
      <c r="A172" s="4">
        <v>1171</v>
      </c>
      <c r="B172" s="3">
        <v>45399</v>
      </c>
      <c r="C172" s="2" t="s">
        <v>8</v>
      </c>
      <c r="D172" s="2" t="s">
        <v>15</v>
      </c>
      <c r="E172" s="2" t="s">
        <v>21</v>
      </c>
      <c r="F172" s="2">
        <v>12</v>
      </c>
      <c r="G172" s="2">
        <v>976.21</v>
      </c>
      <c r="H172" s="5">
        <v>11714.52</v>
      </c>
    </row>
    <row r="173" spans="1:8" x14ac:dyDescent="0.25">
      <c r="A173" s="4">
        <v>1172</v>
      </c>
      <c r="B173" s="3">
        <v>45309</v>
      </c>
      <c r="C173" s="2" t="s">
        <v>17</v>
      </c>
      <c r="D173" s="2" t="s">
        <v>15</v>
      </c>
      <c r="E173" s="2" t="s">
        <v>12</v>
      </c>
      <c r="F173" s="2">
        <v>10</v>
      </c>
      <c r="G173" s="2">
        <v>850.17</v>
      </c>
      <c r="H173" s="5">
        <v>8501.6999999999989</v>
      </c>
    </row>
    <row r="174" spans="1:8" x14ac:dyDescent="0.25">
      <c r="A174" s="4">
        <v>1173</v>
      </c>
      <c r="B174" s="3">
        <v>45404</v>
      </c>
      <c r="C174" s="2" t="s">
        <v>8</v>
      </c>
      <c r="D174" s="2" t="s">
        <v>18</v>
      </c>
      <c r="E174" s="2" t="s">
        <v>21</v>
      </c>
      <c r="F174" s="2">
        <v>18</v>
      </c>
      <c r="G174" s="2">
        <v>1103.3800000000001</v>
      </c>
      <c r="H174" s="5">
        <v>19860.84</v>
      </c>
    </row>
    <row r="175" spans="1:8" x14ac:dyDescent="0.25">
      <c r="A175" s="4">
        <v>1174</v>
      </c>
      <c r="B175" s="3">
        <v>45589</v>
      </c>
      <c r="C175" s="2" t="s">
        <v>17</v>
      </c>
      <c r="D175" s="2" t="s">
        <v>18</v>
      </c>
      <c r="E175" s="2" t="s">
        <v>10</v>
      </c>
      <c r="F175" s="2">
        <v>8</v>
      </c>
      <c r="G175" s="2">
        <v>1314.38</v>
      </c>
      <c r="H175" s="5">
        <v>10515.04</v>
      </c>
    </row>
    <row r="176" spans="1:8" x14ac:dyDescent="0.25">
      <c r="A176" s="4">
        <v>1175</v>
      </c>
      <c r="B176" s="3">
        <v>45295</v>
      </c>
      <c r="C176" s="2" t="s">
        <v>19</v>
      </c>
      <c r="D176" s="2" t="s">
        <v>18</v>
      </c>
      <c r="E176" s="2" t="s">
        <v>10</v>
      </c>
      <c r="F176" s="2">
        <v>12</v>
      </c>
      <c r="G176" s="2">
        <v>520.41999999999996</v>
      </c>
      <c r="H176" s="5">
        <v>6245.0399999999991</v>
      </c>
    </row>
    <row r="177" spans="1:8" x14ac:dyDescent="0.25">
      <c r="A177" s="4">
        <v>1176</v>
      </c>
      <c r="B177" s="3">
        <v>45294</v>
      </c>
      <c r="C177" s="2" t="s">
        <v>19</v>
      </c>
      <c r="D177" s="2" t="s">
        <v>15</v>
      </c>
      <c r="E177" s="2" t="s">
        <v>14</v>
      </c>
      <c r="F177" s="2">
        <v>7</v>
      </c>
      <c r="G177" s="2">
        <v>1134.45</v>
      </c>
      <c r="H177" s="5">
        <v>7941.1500000000005</v>
      </c>
    </row>
    <row r="178" spans="1:8" x14ac:dyDescent="0.25">
      <c r="A178" s="4">
        <v>1177</v>
      </c>
      <c r="B178" s="3">
        <v>45548</v>
      </c>
      <c r="C178" s="2" t="s">
        <v>11</v>
      </c>
      <c r="D178" s="2" t="s">
        <v>15</v>
      </c>
      <c r="E178" s="2" t="s">
        <v>16</v>
      </c>
      <c r="F178" s="2">
        <v>2</v>
      </c>
      <c r="G178" s="2">
        <v>676.64</v>
      </c>
      <c r="H178" s="5">
        <v>1353.28</v>
      </c>
    </row>
    <row r="179" spans="1:8" x14ac:dyDescent="0.25">
      <c r="A179" s="4">
        <v>1178</v>
      </c>
      <c r="B179" s="3">
        <v>45467</v>
      </c>
      <c r="C179" s="2" t="s">
        <v>17</v>
      </c>
      <c r="D179" s="2" t="s">
        <v>20</v>
      </c>
      <c r="E179" s="2" t="s">
        <v>21</v>
      </c>
      <c r="F179" s="2">
        <v>17</v>
      </c>
      <c r="G179" s="2">
        <v>498.56</v>
      </c>
      <c r="H179" s="5">
        <v>8475.52</v>
      </c>
    </row>
    <row r="180" spans="1:8" x14ac:dyDescent="0.25">
      <c r="A180" s="4">
        <v>1179</v>
      </c>
      <c r="B180" s="3">
        <v>45580</v>
      </c>
      <c r="C180" s="2" t="s">
        <v>11</v>
      </c>
      <c r="D180" s="2" t="s">
        <v>15</v>
      </c>
      <c r="E180" s="2" t="s">
        <v>10</v>
      </c>
      <c r="F180" s="2">
        <v>5</v>
      </c>
      <c r="G180" s="2">
        <v>376.18</v>
      </c>
      <c r="H180" s="5">
        <v>1880.9</v>
      </c>
    </row>
    <row r="181" spans="1:8" x14ac:dyDescent="0.25">
      <c r="A181" s="4">
        <v>1180</v>
      </c>
      <c r="B181" s="3">
        <v>45599</v>
      </c>
      <c r="C181" s="2" t="s">
        <v>13</v>
      </c>
      <c r="D181" s="2" t="s">
        <v>15</v>
      </c>
      <c r="E181" s="2" t="s">
        <v>14</v>
      </c>
      <c r="F181" s="2">
        <v>16</v>
      </c>
      <c r="G181" s="2">
        <v>843.06</v>
      </c>
      <c r="H181" s="5">
        <v>13488.96</v>
      </c>
    </row>
    <row r="182" spans="1:8" x14ac:dyDescent="0.25">
      <c r="A182" s="4">
        <v>1181</v>
      </c>
      <c r="B182" s="3">
        <v>45492</v>
      </c>
      <c r="C182" s="2" t="s">
        <v>13</v>
      </c>
      <c r="D182" s="2" t="s">
        <v>20</v>
      </c>
      <c r="E182" s="2" t="s">
        <v>12</v>
      </c>
      <c r="F182" s="2">
        <v>11</v>
      </c>
      <c r="G182" s="2">
        <v>1454.25</v>
      </c>
      <c r="H182" s="5">
        <v>15996.75</v>
      </c>
    </row>
    <row r="183" spans="1:8" x14ac:dyDescent="0.25">
      <c r="A183" s="4">
        <v>1182</v>
      </c>
      <c r="B183" s="3">
        <v>45372</v>
      </c>
      <c r="C183" s="2" t="s">
        <v>8</v>
      </c>
      <c r="D183" s="2" t="s">
        <v>18</v>
      </c>
      <c r="E183" s="2" t="s">
        <v>12</v>
      </c>
      <c r="F183" s="2">
        <v>13</v>
      </c>
      <c r="G183" s="2">
        <v>1477.61</v>
      </c>
      <c r="H183" s="5">
        <v>19208.93</v>
      </c>
    </row>
    <row r="184" spans="1:8" x14ac:dyDescent="0.25">
      <c r="A184" s="4">
        <v>1183</v>
      </c>
      <c r="B184" s="3">
        <v>45472</v>
      </c>
      <c r="C184" s="2" t="s">
        <v>19</v>
      </c>
      <c r="D184" s="2" t="s">
        <v>20</v>
      </c>
      <c r="E184" s="2" t="s">
        <v>12</v>
      </c>
      <c r="F184" s="2">
        <v>14</v>
      </c>
      <c r="G184" s="2">
        <v>1133.6300000000001</v>
      </c>
      <c r="H184" s="5">
        <v>15870.82</v>
      </c>
    </row>
    <row r="185" spans="1:8" x14ac:dyDescent="0.25">
      <c r="A185" s="4">
        <v>1184</v>
      </c>
      <c r="B185" s="3">
        <v>45549</v>
      </c>
      <c r="C185" s="2" t="s">
        <v>19</v>
      </c>
      <c r="D185" s="2" t="s">
        <v>15</v>
      </c>
      <c r="E185" s="2" t="s">
        <v>14</v>
      </c>
      <c r="F185" s="2">
        <v>5</v>
      </c>
      <c r="G185" s="2">
        <v>1190.73</v>
      </c>
      <c r="H185" s="5">
        <v>5953.65</v>
      </c>
    </row>
    <row r="186" spans="1:8" x14ac:dyDescent="0.25">
      <c r="A186" s="4">
        <v>1185</v>
      </c>
      <c r="B186" s="3">
        <v>45392</v>
      </c>
      <c r="C186" s="2" t="s">
        <v>19</v>
      </c>
      <c r="D186" s="2" t="s">
        <v>20</v>
      </c>
      <c r="E186" s="2" t="s">
        <v>12</v>
      </c>
      <c r="F186" s="2">
        <v>6</v>
      </c>
      <c r="G186" s="2">
        <v>739.31</v>
      </c>
      <c r="H186" s="5">
        <v>4435.8599999999997</v>
      </c>
    </row>
    <row r="187" spans="1:8" x14ac:dyDescent="0.25">
      <c r="A187" s="4">
        <v>1186</v>
      </c>
      <c r="B187" s="3">
        <v>45622</v>
      </c>
      <c r="C187" s="2" t="s">
        <v>11</v>
      </c>
      <c r="D187" s="2" t="s">
        <v>20</v>
      </c>
      <c r="E187" s="2" t="s">
        <v>10</v>
      </c>
      <c r="F187" s="2">
        <v>17</v>
      </c>
      <c r="G187" s="2">
        <v>599.96</v>
      </c>
      <c r="H187" s="5">
        <v>10199.32</v>
      </c>
    </row>
    <row r="188" spans="1:8" x14ac:dyDescent="0.25">
      <c r="A188" s="4">
        <v>1187</v>
      </c>
      <c r="B188" s="3">
        <v>45434</v>
      </c>
      <c r="C188" s="2" t="s">
        <v>11</v>
      </c>
      <c r="D188" s="2" t="s">
        <v>18</v>
      </c>
      <c r="E188" s="2" t="s">
        <v>10</v>
      </c>
      <c r="F188" s="2">
        <v>10</v>
      </c>
      <c r="G188" s="2">
        <v>736.48</v>
      </c>
      <c r="H188" s="5">
        <v>7364.8</v>
      </c>
    </row>
    <row r="189" spans="1:8" x14ac:dyDescent="0.25">
      <c r="A189" s="4">
        <v>1188</v>
      </c>
      <c r="B189" s="3">
        <v>45497</v>
      </c>
      <c r="C189" s="2" t="s">
        <v>13</v>
      </c>
      <c r="D189" s="2" t="s">
        <v>20</v>
      </c>
      <c r="E189" s="2" t="s">
        <v>10</v>
      </c>
      <c r="F189" s="2">
        <v>17</v>
      </c>
      <c r="G189" s="2">
        <v>1461.81</v>
      </c>
      <c r="H189" s="5">
        <v>24850.77</v>
      </c>
    </row>
    <row r="190" spans="1:8" x14ac:dyDescent="0.25">
      <c r="A190" s="4">
        <v>1189</v>
      </c>
      <c r="B190" s="3">
        <v>45452</v>
      </c>
      <c r="C190" s="2" t="s">
        <v>19</v>
      </c>
      <c r="D190" s="2" t="s">
        <v>18</v>
      </c>
      <c r="E190" s="2" t="s">
        <v>12</v>
      </c>
      <c r="F190" s="2">
        <v>1</v>
      </c>
      <c r="G190" s="2">
        <v>195.92</v>
      </c>
      <c r="H190" s="5">
        <v>195.92</v>
      </c>
    </row>
    <row r="191" spans="1:8" x14ac:dyDescent="0.25">
      <c r="A191" s="4">
        <v>1190</v>
      </c>
      <c r="B191" s="3">
        <v>45432</v>
      </c>
      <c r="C191" s="2" t="s">
        <v>8</v>
      </c>
      <c r="D191" s="2" t="s">
        <v>9</v>
      </c>
      <c r="E191" s="2" t="s">
        <v>16</v>
      </c>
      <c r="F191" s="2">
        <v>8</v>
      </c>
      <c r="G191" s="2">
        <v>1145.72</v>
      </c>
      <c r="H191" s="5">
        <v>9165.76</v>
      </c>
    </row>
    <row r="192" spans="1:8" x14ac:dyDescent="0.25">
      <c r="A192" s="4">
        <v>1191</v>
      </c>
      <c r="B192" s="3">
        <v>45502</v>
      </c>
      <c r="C192" s="2" t="s">
        <v>8</v>
      </c>
      <c r="D192" s="2" t="s">
        <v>18</v>
      </c>
      <c r="E192" s="2" t="s">
        <v>21</v>
      </c>
      <c r="F192" s="2">
        <v>17</v>
      </c>
      <c r="G192" s="2">
        <v>162.44999999999999</v>
      </c>
      <c r="H192" s="5">
        <v>2761.65</v>
      </c>
    </row>
    <row r="193" spans="1:8" x14ac:dyDescent="0.25">
      <c r="A193" s="4">
        <v>1192</v>
      </c>
      <c r="B193" s="3">
        <v>45564</v>
      </c>
      <c r="C193" s="2" t="s">
        <v>11</v>
      </c>
      <c r="D193" s="2" t="s">
        <v>18</v>
      </c>
      <c r="E193" s="2" t="s">
        <v>12</v>
      </c>
      <c r="F193" s="2">
        <v>14</v>
      </c>
      <c r="G193" s="2">
        <v>911.1</v>
      </c>
      <c r="H193" s="5">
        <v>12755.4</v>
      </c>
    </row>
    <row r="194" spans="1:8" x14ac:dyDescent="0.25">
      <c r="A194" s="4">
        <v>1193</v>
      </c>
      <c r="B194" s="3">
        <v>45597</v>
      </c>
      <c r="C194" s="2" t="s">
        <v>8</v>
      </c>
      <c r="D194" s="2" t="s">
        <v>20</v>
      </c>
      <c r="E194" s="2" t="s">
        <v>12</v>
      </c>
      <c r="F194" s="2">
        <v>6</v>
      </c>
      <c r="G194" s="2">
        <v>570</v>
      </c>
      <c r="H194" s="5">
        <v>3420</v>
      </c>
    </row>
    <row r="195" spans="1:8" x14ac:dyDescent="0.25">
      <c r="A195" s="4">
        <v>1194</v>
      </c>
      <c r="B195" s="3">
        <v>45399</v>
      </c>
      <c r="C195" s="2" t="s">
        <v>11</v>
      </c>
      <c r="D195" s="2" t="s">
        <v>15</v>
      </c>
      <c r="E195" s="2" t="s">
        <v>14</v>
      </c>
      <c r="F195" s="2">
        <v>14</v>
      </c>
      <c r="G195" s="2">
        <v>841.98</v>
      </c>
      <c r="H195" s="5">
        <v>11787.72</v>
      </c>
    </row>
    <row r="196" spans="1:8" x14ac:dyDescent="0.25">
      <c r="A196" s="4">
        <v>1195</v>
      </c>
      <c r="B196" s="3">
        <v>45632</v>
      </c>
      <c r="C196" s="2" t="s">
        <v>8</v>
      </c>
      <c r="D196" s="2" t="s">
        <v>15</v>
      </c>
      <c r="E196" s="2" t="s">
        <v>21</v>
      </c>
      <c r="F196" s="2">
        <v>2</v>
      </c>
      <c r="G196" s="2">
        <v>1302.67</v>
      </c>
      <c r="H196" s="5">
        <v>2605.34</v>
      </c>
    </row>
    <row r="197" spans="1:8" x14ac:dyDescent="0.25">
      <c r="A197" s="4">
        <v>1196</v>
      </c>
      <c r="B197" s="3">
        <v>45315</v>
      </c>
      <c r="C197" s="2" t="s">
        <v>11</v>
      </c>
      <c r="D197" s="2" t="s">
        <v>18</v>
      </c>
      <c r="E197" s="2" t="s">
        <v>21</v>
      </c>
      <c r="F197" s="2">
        <v>3</v>
      </c>
      <c r="G197" s="2">
        <v>1247.6099999999999</v>
      </c>
      <c r="H197" s="5">
        <v>3742.83</v>
      </c>
    </row>
    <row r="198" spans="1:8" x14ac:dyDescent="0.25">
      <c r="A198" s="4">
        <v>1197</v>
      </c>
      <c r="B198" s="3">
        <v>45337</v>
      </c>
      <c r="C198" s="2" t="s">
        <v>17</v>
      </c>
      <c r="D198" s="2" t="s">
        <v>18</v>
      </c>
      <c r="E198" s="2" t="s">
        <v>10</v>
      </c>
      <c r="F198" s="2">
        <v>3</v>
      </c>
      <c r="G198" s="2">
        <v>442.03</v>
      </c>
      <c r="H198" s="5">
        <v>1326.09</v>
      </c>
    </row>
    <row r="199" spans="1:8" x14ac:dyDescent="0.25">
      <c r="A199" s="4">
        <v>1198</v>
      </c>
      <c r="B199" s="3">
        <v>45415</v>
      </c>
      <c r="C199" s="2" t="s">
        <v>13</v>
      </c>
      <c r="D199" s="2" t="s">
        <v>18</v>
      </c>
      <c r="E199" s="2" t="s">
        <v>12</v>
      </c>
      <c r="F199" s="2">
        <v>1</v>
      </c>
      <c r="G199" s="2">
        <v>1354.63</v>
      </c>
      <c r="H199" s="5">
        <v>1354.63</v>
      </c>
    </row>
    <row r="200" spans="1:8" x14ac:dyDescent="0.25">
      <c r="A200" s="4">
        <v>1199</v>
      </c>
      <c r="B200" s="3">
        <v>45507</v>
      </c>
      <c r="C200" s="2" t="s">
        <v>11</v>
      </c>
      <c r="D200" s="2" t="s">
        <v>20</v>
      </c>
      <c r="E200" s="2" t="s">
        <v>10</v>
      </c>
      <c r="F200" s="2">
        <v>12</v>
      </c>
      <c r="G200" s="2">
        <v>1287.26</v>
      </c>
      <c r="H200" s="5">
        <v>15447.12</v>
      </c>
    </row>
    <row r="201" spans="1:8" x14ac:dyDescent="0.25">
      <c r="A201" s="4">
        <v>1200</v>
      </c>
      <c r="B201" s="3">
        <v>45648</v>
      </c>
      <c r="C201" s="2" t="s">
        <v>11</v>
      </c>
      <c r="D201" s="2" t="s">
        <v>15</v>
      </c>
      <c r="E201" s="2" t="s">
        <v>10</v>
      </c>
      <c r="F201" s="2">
        <v>8</v>
      </c>
      <c r="G201" s="2">
        <v>375.94</v>
      </c>
      <c r="H201" s="5">
        <v>3007.52</v>
      </c>
    </row>
    <row r="202" spans="1:8" x14ac:dyDescent="0.25">
      <c r="A202" s="4">
        <v>1201</v>
      </c>
      <c r="B202" s="3">
        <v>45599</v>
      </c>
      <c r="C202" s="2" t="s">
        <v>11</v>
      </c>
      <c r="D202" s="2" t="s">
        <v>18</v>
      </c>
      <c r="E202" s="2" t="s">
        <v>10</v>
      </c>
      <c r="F202" s="2">
        <v>14</v>
      </c>
      <c r="G202" s="2">
        <v>1205.06</v>
      </c>
      <c r="H202" s="5">
        <v>16870.84</v>
      </c>
    </row>
    <row r="203" spans="1:8" x14ac:dyDescent="0.25">
      <c r="A203" s="4">
        <v>1202</v>
      </c>
      <c r="B203" s="3">
        <v>45476</v>
      </c>
      <c r="C203" s="2" t="s">
        <v>11</v>
      </c>
      <c r="D203" s="2" t="s">
        <v>15</v>
      </c>
      <c r="E203" s="2" t="s">
        <v>21</v>
      </c>
      <c r="F203" s="2">
        <v>18</v>
      </c>
      <c r="G203" s="2">
        <v>1244.47</v>
      </c>
      <c r="H203" s="5">
        <v>22400.46</v>
      </c>
    </row>
    <row r="204" spans="1:8" x14ac:dyDescent="0.25">
      <c r="A204" s="4">
        <v>1203</v>
      </c>
      <c r="B204" s="3">
        <v>45356</v>
      </c>
      <c r="C204" s="2" t="s">
        <v>11</v>
      </c>
      <c r="D204" s="2" t="s">
        <v>9</v>
      </c>
      <c r="E204" s="2" t="s">
        <v>14</v>
      </c>
      <c r="F204" s="2">
        <v>17</v>
      </c>
      <c r="G204" s="2">
        <v>1217.47</v>
      </c>
      <c r="H204" s="5">
        <v>20696.990000000002</v>
      </c>
    </row>
    <row r="205" spans="1:8" x14ac:dyDescent="0.25">
      <c r="A205" s="4">
        <v>1204</v>
      </c>
      <c r="B205" s="3">
        <v>45491</v>
      </c>
      <c r="C205" s="2" t="s">
        <v>19</v>
      </c>
      <c r="D205" s="2" t="s">
        <v>20</v>
      </c>
      <c r="E205" s="2" t="s">
        <v>16</v>
      </c>
      <c r="F205" s="2">
        <v>4</v>
      </c>
      <c r="G205" s="2">
        <v>386.4</v>
      </c>
      <c r="H205" s="5">
        <v>1545.6</v>
      </c>
    </row>
    <row r="206" spans="1:8" x14ac:dyDescent="0.25">
      <c r="A206" s="4">
        <v>1205</v>
      </c>
      <c r="B206" s="3">
        <v>45540</v>
      </c>
      <c r="C206" s="2" t="s">
        <v>19</v>
      </c>
      <c r="D206" s="2" t="s">
        <v>20</v>
      </c>
      <c r="E206" s="2" t="s">
        <v>12</v>
      </c>
      <c r="F206" s="2">
        <v>11</v>
      </c>
      <c r="G206" s="2">
        <v>889.34</v>
      </c>
      <c r="H206" s="5">
        <v>9782.74</v>
      </c>
    </row>
    <row r="207" spans="1:8" x14ac:dyDescent="0.25">
      <c r="A207" s="4">
        <v>1206</v>
      </c>
      <c r="B207" s="3">
        <v>45550</v>
      </c>
      <c r="C207" s="2" t="s">
        <v>19</v>
      </c>
      <c r="D207" s="2" t="s">
        <v>20</v>
      </c>
      <c r="E207" s="2" t="s">
        <v>10</v>
      </c>
      <c r="F207" s="2">
        <v>9</v>
      </c>
      <c r="G207" s="2">
        <v>508.77</v>
      </c>
      <c r="H207" s="5">
        <v>4578.93</v>
      </c>
    </row>
    <row r="208" spans="1:8" x14ac:dyDescent="0.25">
      <c r="A208" s="4">
        <v>1207</v>
      </c>
      <c r="B208" s="3">
        <v>45564</v>
      </c>
      <c r="C208" s="2" t="s">
        <v>17</v>
      </c>
      <c r="D208" s="2" t="s">
        <v>15</v>
      </c>
      <c r="E208" s="2" t="s">
        <v>21</v>
      </c>
      <c r="F208" s="2">
        <v>12</v>
      </c>
      <c r="G208" s="2">
        <v>973.52</v>
      </c>
      <c r="H208" s="5">
        <v>11682.24</v>
      </c>
    </row>
    <row r="209" spans="1:8" x14ac:dyDescent="0.25">
      <c r="A209" s="4">
        <v>1208</v>
      </c>
      <c r="B209" s="3">
        <v>45446</v>
      </c>
      <c r="C209" s="2" t="s">
        <v>8</v>
      </c>
      <c r="D209" s="2" t="s">
        <v>9</v>
      </c>
      <c r="E209" s="2" t="s">
        <v>14</v>
      </c>
      <c r="F209" s="2">
        <v>5</v>
      </c>
      <c r="G209" s="2">
        <v>760.93</v>
      </c>
      <c r="H209" s="5">
        <v>3804.65</v>
      </c>
    </row>
    <row r="210" spans="1:8" x14ac:dyDescent="0.25">
      <c r="A210" s="4">
        <v>1209</v>
      </c>
      <c r="B210" s="3">
        <v>45625</v>
      </c>
      <c r="C210" s="2" t="s">
        <v>17</v>
      </c>
      <c r="D210" s="2" t="s">
        <v>20</v>
      </c>
      <c r="E210" s="2" t="s">
        <v>21</v>
      </c>
      <c r="F210" s="2">
        <v>9</v>
      </c>
      <c r="G210" s="2">
        <v>1286.44</v>
      </c>
      <c r="H210" s="5">
        <v>11577.96</v>
      </c>
    </row>
    <row r="211" spans="1:8" x14ac:dyDescent="0.25">
      <c r="A211" s="4">
        <v>1210</v>
      </c>
      <c r="B211" s="3">
        <v>45552</v>
      </c>
      <c r="C211" s="2" t="s">
        <v>17</v>
      </c>
      <c r="D211" s="2" t="s">
        <v>15</v>
      </c>
      <c r="E211" s="2" t="s">
        <v>21</v>
      </c>
      <c r="F211" s="2">
        <v>7</v>
      </c>
      <c r="G211" s="2">
        <v>445.7</v>
      </c>
      <c r="H211" s="5">
        <v>3119.9</v>
      </c>
    </row>
    <row r="212" spans="1:8" x14ac:dyDescent="0.25">
      <c r="A212" s="4">
        <v>1211</v>
      </c>
      <c r="B212" s="3">
        <v>45338</v>
      </c>
      <c r="C212" s="2" t="s">
        <v>8</v>
      </c>
      <c r="D212" s="2" t="s">
        <v>15</v>
      </c>
      <c r="E212" s="2" t="s">
        <v>21</v>
      </c>
      <c r="F212" s="2">
        <v>10</v>
      </c>
      <c r="G212" s="2">
        <v>546.29999999999995</v>
      </c>
      <c r="H212" s="5">
        <v>5463</v>
      </c>
    </row>
    <row r="213" spans="1:8" x14ac:dyDescent="0.25">
      <c r="A213" s="4">
        <v>1212</v>
      </c>
      <c r="B213" s="3">
        <v>45431</v>
      </c>
      <c r="C213" s="2" t="s">
        <v>13</v>
      </c>
      <c r="D213" s="2" t="s">
        <v>15</v>
      </c>
      <c r="E213" s="2" t="s">
        <v>12</v>
      </c>
      <c r="F213" s="2">
        <v>16</v>
      </c>
      <c r="G213" s="2">
        <v>1085.73</v>
      </c>
      <c r="H213" s="5">
        <v>17371.68</v>
      </c>
    </row>
    <row r="214" spans="1:8" x14ac:dyDescent="0.25">
      <c r="A214" s="4">
        <v>1213</v>
      </c>
      <c r="B214" s="3">
        <v>45501</v>
      </c>
      <c r="C214" s="2" t="s">
        <v>11</v>
      </c>
      <c r="D214" s="2" t="s">
        <v>20</v>
      </c>
      <c r="E214" s="2" t="s">
        <v>16</v>
      </c>
      <c r="F214" s="2">
        <v>4</v>
      </c>
      <c r="G214" s="2">
        <v>1319.34</v>
      </c>
      <c r="H214" s="5">
        <v>5277.36</v>
      </c>
    </row>
    <row r="215" spans="1:8" x14ac:dyDescent="0.25">
      <c r="A215" s="4">
        <v>1214</v>
      </c>
      <c r="B215" s="3">
        <v>45340</v>
      </c>
      <c r="C215" s="2" t="s">
        <v>8</v>
      </c>
      <c r="D215" s="2" t="s">
        <v>18</v>
      </c>
      <c r="E215" s="2" t="s">
        <v>12</v>
      </c>
      <c r="F215" s="2">
        <v>14</v>
      </c>
      <c r="G215" s="2">
        <v>1243.9100000000001</v>
      </c>
      <c r="H215" s="5">
        <v>17414.740000000002</v>
      </c>
    </row>
    <row r="216" spans="1:8" x14ac:dyDescent="0.25">
      <c r="A216" s="4">
        <v>1215</v>
      </c>
      <c r="B216" s="3">
        <v>45481</v>
      </c>
      <c r="C216" s="2" t="s">
        <v>11</v>
      </c>
      <c r="D216" s="2" t="s">
        <v>18</v>
      </c>
      <c r="E216" s="2" t="s">
        <v>14</v>
      </c>
      <c r="F216" s="2">
        <v>14</v>
      </c>
      <c r="G216" s="2">
        <v>338.96</v>
      </c>
      <c r="H216" s="5">
        <v>4745.4399999999996</v>
      </c>
    </row>
    <row r="217" spans="1:8" x14ac:dyDescent="0.25">
      <c r="A217" s="4">
        <v>1216</v>
      </c>
      <c r="B217" s="3">
        <v>45564</v>
      </c>
      <c r="C217" s="2" t="s">
        <v>19</v>
      </c>
      <c r="D217" s="2" t="s">
        <v>18</v>
      </c>
      <c r="E217" s="2" t="s">
        <v>14</v>
      </c>
      <c r="F217" s="2">
        <v>10</v>
      </c>
      <c r="G217" s="2">
        <v>361.21</v>
      </c>
      <c r="H217" s="5">
        <v>3612.1</v>
      </c>
    </row>
    <row r="218" spans="1:8" x14ac:dyDescent="0.25">
      <c r="A218" s="4">
        <v>1217</v>
      </c>
      <c r="B218" s="3">
        <v>45387</v>
      </c>
      <c r="C218" s="2" t="s">
        <v>11</v>
      </c>
      <c r="D218" s="2" t="s">
        <v>15</v>
      </c>
      <c r="E218" s="2" t="s">
        <v>16</v>
      </c>
      <c r="F218" s="2">
        <v>14</v>
      </c>
      <c r="G218" s="2">
        <v>1492.59</v>
      </c>
      <c r="H218" s="5">
        <v>20896.259999999998</v>
      </c>
    </row>
    <row r="219" spans="1:8" x14ac:dyDescent="0.25">
      <c r="A219" s="4">
        <v>1218</v>
      </c>
      <c r="B219" s="3">
        <v>45443</v>
      </c>
      <c r="C219" s="2" t="s">
        <v>8</v>
      </c>
      <c r="D219" s="2" t="s">
        <v>18</v>
      </c>
      <c r="E219" s="2" t="s">
        <v>14</v>
      </c>
      <c r="F219" s="2">
        <v>8</v>
      </c>
      <c r="G219" s="2">
        <v>217.46</v>
      </c>
      <c r="H219" s="5">
        <v>1739.68</v>
      </c>
    </row>
    <row r="220" spans="1:8" x14ac:dyDescent="0.25">
      <c r="A220" s="4">
        <v>1219</v>
      </c>
      <c r="B220" s="3">
        <v>45349</v>
      </c>
      <c r="C220" s="2" t="s">
        <v>11</v>
      </c>
      <c r="D220" s="2" t="s">
        <v>18</v>
      </c>
      <c r="E220" s="2" t="s">
        <v>10</v>
      </c>
      <c r="F220" s="2">
        <v>13</v>
      </c>
      <c r="G220" s="2">
        <v>1252.3900000000001</v>
      </c>
      <c r="H220" s="5">
        <v>16281.07</v>
      </c>
    </row>
    <row r="221" spans="1:8" x14ac:dyDescent="0.25">
      <c r="A221" s="4">
        <v>1220</v>
      </c>
      <c r="B221" s="3">
        <v>45555</v>
      </c>
      <c r="C221" s="2" t="s">
        <v>11</v>
      </c>
      <c r="D221" s="2" t="s">
        <v>15</v>
      </c>
      <c r="E221" s="2" t="s">
        <v>21</v>
      </c>
      <c r="F221" s="2">
        <v>11</v>
      </c>
      <c r="G221" s="2">
        <v>534.15</v>
      </c>
      <c r="H221" s="5">
        <v>5875.65</v>
      </c>
    </row>
    <row r="222" spans="1:8" x14ac:dyDescent="0.25">
      <c r="A222" s="4">
        <v>1221</v>
      </c>
      <c r="B222" s="3">
        <v>45567</v>
      </c>
      <c r="C222" s="2" t="s">
        <v>19</v>
      </c>
      <c r="D222" s="2" t="s">
        <v>15</v>
      </c>
      <c r="E222" s="2" t="s">
        <v>21</v>
      </c>
      <c r="F222" s="2">
        <v>9</v>
      </c>
      <c r="G222" s="2">
        <v>716.05</v>
      </c>
      <c r="H222" s="5">
        <v>6444.45</v>
      </c>
    </row>
    <row r="223" spans="1:8" x14ac:dyDescent="0.25">
      <c r="A223" s="4">
        <v>1222</v>
      </c>
      <c r="B223" s="3">
        <v>45653</v>
      </c>
      <c r="C223" s="2" t="s">
        <v>13</v>
      </c>
      <c r="D223" s="2" t="s">
        <v>18</v>
      </c>
      <c r="E223" s="2" t="s">
        <v>21</v>
      </c>
      <c r="F223" s="2">
        <v>10</v>
      </c>
      <c r="G223" s="2">
        <v>606.53</v>
      </c>
      <c r="H223" s="5">
        <v>6065.2999999999993</v>
      </c>
    </row>
    <row r="224" spans="1:8" x14ac:dyDescent="0.25">
      <c r="A224" s="4">
        <v>1223</v>
      </c>
      <c r="B224" s="3">
        <v>45471</v>
      </c>
      <c r="C224" s="2" t="s">
        <v>11</v>
      </c>
      <c r="D224" s="2" t="s">
        <v>18</v>
      </c>
      <c r="E224" s="2" t="s">
        <v>12</v>
      </c>
      <c r="F224" s="2">
        <v>7</v>
      </c>
      <c r="G224" s="2">
        <v>838.45</v>
      </c>
      <c r="H224" s="5">
        <v>5869.1500000000005</v>
      </c>
    </row>
    <row r="225" spans="1:8" x14ac:dyDescent="0.25">
      <c r="A225" s="4">
        <v>1224</v>
      </c>
      <c r="B225" s="3">
        <v>45426</v>
      </c>
      <c r="C225" s="2" t="s">
        <v>8</v>
      </c>
      <c r="D225" s="2" t="s">
        <v>9</v>
      </c>
      <c r="E225" s="2" t="s">
        <v>12</v>
      </c>
      <c r="F225" s="2">
        <v>4</v>
      </c>
      <c r="G225" s="2">
        <v>1239.9000000000001</v>
      </c>
      <c r="H225" s="5">
        <v>4959.6000000000004</v>
      </c>
    </row>
    <row r="226" spans="1:8" x14ac:dyDescent="0.25">
      <c r="A226" s="4">
        <v>1225</v>
      </c>
      <c r="B226" s="3">
        <v>45300</v>
      </c>
      <c r="C226" s="2" t="s">
        <v>8</v>
      </c>
      <c r="D226" s="2" t="s">
        <v>9</v>
      </c>
      <c r="E226" s="2" t="s">
        <v>21</v>
      </c>
      <c r="F226" s="2">
        <v>12</v>
      </c>
      <c r="G226" s="2">
        <v>60.16</v>
      </c>
      <c r="H226" s="5">
        <v>721.92</v>
      </c>
    </row>
    <row r="227" spans="1:8" x14ac:dyDescent="0.25">
      <c r="A227" s="4">
        <v>1226</v>
      </c>
      <c r="B227" s="3">
        <v>45574</v>
      </c>
      <c r="C227" s="2" t="s">
        <v>17</v>
      </c>
      <c r="D227" s="2" t="s">
        <v>18</v>
      </c>
      <c r="E227" s="2" t="s">
        <v>21</v>
      </c>
      <c r="F227" s="2">
        <v>5</v>
      </c>
      <c r="G227" s="2">
        <v>90.71</v>
      </c>
      <c r="H227" s="5">
        <v>453.55</v>
      </c>
    </row>
    <row r="228" spans="1:8" x14ac:dyDescent="0.25">
      <c r="A228" s="4">
        <v>1227</v>
      </c>
      <c r="B228" s="3">
        <v>45634</v>
      </c>
      <c r="C228" s="2" t="s">
        <v>11</v>
      </c>
      <c r="D228" s="2" t="s">
        <v>20</v>
      </c>
      <c r="E228" s="2" t="s">
        <v>10</v>
      </c>
      <c r="F228" s="2">
        <v>12</v>
      </c>
      <c r="G228" s="2">
        <v>528.64</v>
      </c>
      <c r="H228" s="5">
        <v>6343.68</v>
      </c>
    </row>
    <row r="229" spans="1:8" x14ac:dyDescent="0.25">
      <c r="A229" s="4">
        <v>1228</v>
      </c>
      <c r="B229" s="3">
        <v>45370</v>
      </c>
      <c r="C229" s="2" t="s">
        <v>17</v>
      </c>
      <c r="D229" s="2" t="s">
        <v>18</v>
      </c>
      <c r="E229" s="2" t="s">
        <v>21</v>
      </c>
      <c r="F229" s="2">
        <v>16</v>
      </c>
      <c r="G229" s="2">
        <v>1170</v>
      </c>
      <c r="H229" s="5">
        <v>18720</v>
      </c>
    </row>
    <row r="230" spans="1:8" x14ac:dyDescent="0.25">
      <c r="A230" s="4">
        <v>1229</v>
      </c>
      <c r="B230" s="3">
        <v>45526</v>
      </c>
      <c r="C230" s="2" t="s">
        <v>11</v>
      </c>
      <c r="D230" s="2" t="s">
        <v>9</v>
      </c>
      <c r="E230" s="2" t="s">
        <v>10</v>
      </c>
      <c r="F230" s="2">
        <v>9</v>
      </c>
      <c r="G230" s="2">
        <v>760.64</v>
      </c>
      <c r="H230" s="5">
        <v>6845.76</v>
      </c>
    </row>
    <row r="231" spans="1:8" x14ac:dyDescent="0.25">
      <c r="A231" s="4">
        <v>1230</v>
      </c>
      <c r="B231" s="3">
        <v>45387</v>
      </c>
      <c r="C231" s="2" t="s">
        <v>11</v>
      </c>
      <c r="D231" s="2" t="s">
        <v>20</v>
      </c>
      <c r="E231" s="2" t="s">
        <v>21</v>
      </c>
      <c r="F231" s="2">
        <v>11</v>
      </c>
      <c r="G231" s="2">
        <v>1122.76</v>
      </c>
      <c r="H231" s="5">
        <v>12350.36</v>
      </c>
    </row>
    <row r="232" spans="1:8" x14ac:dyDescent="0.25">
      <c r="A232" s="4">
        <v>1231</v>
      </c>
      <c r="B232" s="3">
        <v>45486</v>
      </c>
      <c r="C232" s="2" t="s">
        <v>11</v>
      </c>
      <c r="D232" s="2" t="s">
        <v>20</v>
      </c>
      <c r="E232" s="2" t="s">
        <v>12</v>
      </c>
      <c r="F232" s="2">
        <v>11</v>
      </c>
      <c r="G232" s="2">
        <v>327.73</v>
      </c>
      <c r="H232" s="5">
        <v>3605.03</v>
      </c>
    </row>
    <row r="233" spans="1:8" x14ac:dyDescent="0.25">
      <c r="A233" s="4">
        <v>1232</v>
      </c>
      <c r="B233" s="3">
        <v>45568</v>
      </c>
      <c r="C233" s="2" t="s">
        <v>17</v>
      </c>
      <c r="D233" s="2" t="s">
        <v>18</v>
      </c>
      <c r="E233" s="2" t="s">
        <v>12</v>
      </c>
      <c r="F233" s="2">
        <v>3</v>
      </c>
      <c r="G233" s="2">
        <v>436.57</v>
      </c>
      <c r="H233" s="5">
        <v>1309.71</v>
      </c>
    </row>
    <row r="234" spans="1:8" x14ac:dyDescent="0.25">
      <c r="A234" s="4">
        <v>1233</v>
      </c>
      <c r="B234" s="3">
        <v>45615</v>
      </c>
      <c r="C234" s="2" t="s">
        <v>13</v>
      </c>
      <c r="D234" s="2" t="s">
        <v>15</v>
      </c>
      <c r="E234" s="2" t="s">
        <v>12</v>
      </c>
      <c r="F234" s="2">
        <v>12</v>
      </c>
      <c r="G234" s="2">
        <v>301.7</v>
      </c>
      <c r="H234" s="5">
        <v>3620.4</v>
      </c>
    </row>
    <row r="235" spans="1:8" x14ac:dyDescent="0.25">
      <c r="A235" s="4">
        <v>1234</v>
      </c>
      <c r="B235" s="3">
        <v>45594</v>
      </c>
      <c r="C235" s="2" t="s">
        <v>17</v>
      </c>
      <c r="D235" s="2" t="s">
        <v>18</v>
      </c>
      <c r="E235" s="2" t="s">
        <v>16</v>
      </c>
      <c r="F235" s="2">
        <v>19</v>
      </c>
      <c r="G235" s="2">
        <v>1197.48</v>
      </c>
      <c r="H235" s="5">
        <v>22752.12</v>
      </c>
    </row>
    <row r="236" spans="1:8" x14ac:dyDescent="0.25">
      <c r="A236" s="4">
        <v>1235</v>
      </c>
      <c r="B236" s="3">
        <v>45347</v>
      </c>
      <c r="C236" s="2" t="s">
        <v>11</v>
      </c>
      <c r="D236" s="2" t="s">
        <v>18</v>
      </c>
      <c r="E236" s="2" t="s">
        <v>12</v>
      </c>
      <c r="F236" s="2">
        <v>9</v>
      </c>
      <c r="G236" s="2">
        <v>1135.45</v>
      </c>
      <c r="H236" s="5">
        <v>10219.049999999999</v>
      </c>
    </row>
    <row r="237" spans="1:8" x14ac:dyDescent="0.25">
      <c r="A237" s="4">
        <v>1236</v>
      </c>
      <c r="B237" s="3">
        <v>45553</v>
      </c>
      <c r="C237" s="2" t="s">
        <v>11</v>
      </c>
      <c r="D237" s="2" t="s">
        <v>15</v>
      </c>
      <c r="E237" s="2" t="s">
        <v>14</v>
      </c>
      <c r="F237" s="2">
        <v>8</v>
      </c>
      <c r="G237" s="2">
        <v>94.67</v>
      </c>
      <c r="H237" s="5">
        <v>757.36</v>
      </c>
    </row>
    <row r="238" spans="1:8" x14ac:dyDescent="0.25">
      <c r="A238" s="4">
        <v>1237</v>
      </c>
      <c r="B238" s="3">
        <v>45318</v>
      </c>
      <c r="C238" s="2" t="s">
        <v>11</v>
      </c>
      <c r="D238" s="2" t="s">
        <v>18</v>
      </c>
      <c r="E238" s="2" t="s">
        <v>14</v>
      </c>
      <c r="F238" s="2">
        <v>14</v>
      </c>
      <c r="G238" s="2">
        <v>1109.17</v>
      </c>
      <c r="H238" s="5">
        <v>15528.38</v>
      </c>
    </row>
    <row r="239" spans="1:8" x14ac:dyDescent="0.25">
      <c r="A239" s="4">
        <v>1238</v>
      </c>
      <c r="B239" s="3">
        <v>45384</v>
      </c>
      <c r="C239" s="2" t="s">
        <v>8</v>
      </c>
      <c r="D239" s="2" t="s">
        <v>9</v>
      </c>
      <c r="E239" s="2" t="s">
        <v>16</v>
      </c>
      <c r="F239" s="2">
        <v>8</v>
      </c>
      <c r="G239" s="2">
        <v>1032.71</v>
      </c>
      <c r="H239" s="5">
        <v>8261.68</v>
      </c>
    </row>
    <row r="240" spans="1:8" x14ac:dyDescent="0.25">
      <c r="A240" s="4">
        <v>1239</v>
      </c>
      <c r="B240" s="3">
        <v>45566</v>
      </c>
      <c r="C240" s="2" t="s">
        <v>13</v>
      </c>
      <c r="D240" s="2" t="s">
        <v>9</v>
      </c>
      <c r="E240" s="2" t="s">
        <v>14</v>
      </c>
      <c r="F240" s="2">
        <v>5</v>
      </c>
      <c r="G240" s="2">
        <v>1018</v>
      </c>
      <c r="H240" s="5">
        <v>5090</v>
      </c>
    </row>
    <row r="241" spans="1:8" x14ac:dyDescent="0.25">
      <c r="A241" s="4">
        <v>1240</v>
      </c>
      <c r="B241" s="3">
        <v>45419</v>
      </c>
      <c r="C241" s="2" t="s">
        <v>8</v>
      </c>
      <c r="D241" s="2" t="s">
        <v>9</v>
      </c>
      <c r="E241" s="2" t="s">
        <v>16</v>
      </c>
      <c r="F241" s="2">
        <v>17</v>
      </c>
      <c r="G241" s="2">
        <v>459.4</v>
      </c>
      <c r="H241" s="5">
        <v>7809.7999999999993</v>
      </c>
    </row>
    <row r="242" spans="1:8" x14ac:dyDescent="0.25">
      <c r="A242" s="4">
        <v>1241</v>
      </c>
      <c r="B242" s="3">
        <v>45565</v>
      </c>
      <c r="C242" s="2" t="s">
        <v>17</v>
      </c>
      <c r="D242" s="2" t="s">
        <v>9</v>
      </c>
      <c r="E242" s="2" t="s">
        <v>12</v>
      </c>
      <c r="F242" s="2">
        <v>15</v>
      </c>
      <c r="G242" s="2">
        <v>515.72</v>
      </c>
      <c r="H242" s="5">
        <v>7735.8</v>
      </c>
    </row>
    <row r="243" spans="1:8" x14ac:dyDescent="0.25">
      <c r="A243" s="4">
        <v>1242</v>
      </c>
      <c r="B243" s="3">
        <v>45354</v>
      </c>
      <c r="C243" s="2" t="s">
        <v>8</v>
      </c>
      <c r="D243" s="2" t="s">
        <v>20</v>
      </c>
      <c r="E243" s="2" t="s">
        <v>14</v>
      </c>
      <c r="F243" s="2">
        <v>6</v>
      </c>
      <c r="G243" s="2">
        <v>806.89</v>
      </c>
      <c r="H243" s="5">
        <v>4841.34</v>
      </c>
    </row>
    <row r="244" spans="1:8" x14ac:dyDescent="0.25">
      <c r="A244" s="4">
        <v>1243</v>
      </c>
      <c r="B244" s="3">
        <v>45457</v>
      </c>
      <c r="C244" s="2" t="s">
        <v>8</v>
      </c>
      <c r="D244" s="2" t="s">
        <v>18</v>
      </c>
      <c r="E244" s="2" t="s">
        <v>14</v>
      </c>
      <c r="F244" s="2">
        <v>14</v>
      </c>
      <c r="G244" s="2">
        <v>728.34</v>
      </c>
      <c r="H244" s="5">
        <v>10196.76</v>
      </c>
    </row>
    <row r="245" spans="1:8" x14ac:dyDescent="0.25">
      <c r="A245" s="4">
        <v>1244</v>
      </c>
      <c r="B245" s="3">
        <v>45512</v>
      </c>
      <c r="C245" s="2" t="s">
        <v>8</v>
      </c>
      <c r="D245" s="2" t="s">
        <v>15</v>
      </c>
      <c r="E245" s="2" t="s">
        <v>16</v>
      </c>
      <c r="F245" s="2">
        <v>8</v>
      </c>
      <c r="G245" s="2">
        <v>1081.42</v>
      </c>
      <c r="H245" s="5">
        <v>8651.36</v>
      </c>
    </row>
    <row r="246" spans="1:8" x14ac:dyDescent="0.25">
      <c r="A246" s="4">
        <v>1245</v>
      </c>
      <c r="B246" s="3">
        <v>45435</v>
      </c>
      <c r="C246" s="2" t="s">
        <v>19</v>
      </c>
      <c r="D246" s="2" t="s">
        <v>9</v>
      </c>
      <c r="E246" s="2" t="s">
        <v>21</v>
      </c>
      <c r="F246" s="2">
        <v>17</v>
      </c>
      <c r="G246" s="2">
        <v>386.6</v>
      </c>
      <c r="H246" s="5">
        <v>6572.2000000000007</v>
      </c>
    </row>
    <row r="247" spans="1:8" x14ac:dyDescent="0.25">
      <c r="A247" s="4">
        <v>1246</v>
      </c>
      <c r="B247" s="3">
        <v>45506</v>
      </c>
      <c r="C247" s="2" t="s">
        <v>8</v>
      </c>
      <c r="D247" s="2" t="s">
        <v>15</v>
      </c>
      <c r="E247" s="2" t="s">
        <v>14</v>
      </c>
      <c r="F247" s="2">
        <v>1</v>
      </c>
      <c r="G247" s="2">
        <v>1118.01</v>
      </c>
      <c r="H247" s="5">
        <v>1118.01</v>
      </c>
    </row>
    <row r="248" spans="1:8" x14ac:dyDescent="0.25">
      <c r="A248" s="4">
        <v>1247</v>
      </c>
      <c r="B248" s="3">
        <v>45364</v>
      </c>
      <c r="C248" s="2" t="s">
        <v>11</v>
      </c>
      <c r="D248" s="2" t="s">
        <v>9</v>
      </c>
      <c r="E248" s="2" t="s">
        <v>21</v>
      </c>
      <c r="F248" s="2">
        <v>10</v>
      </c>
      <c r="G248" s="2">
        <v>782.17</v>
      </c>
      <c r="H248" s="5">
        <v>7821.7</v>
      </c>
    </row>
    <row r="249" spans="1:8" x14ac:dyDescent="0.25">
      <c r="A249" s="4">
        <v>1248</v>
      </c>
      <c r="B249" s="3">
        <v>45508</v>
      </c>
      <c r="C249" s="2" t="s">
        <v>13</v>
      </c>
      <c r="D249" s="2" t="s">
        <v>18</v>
      </c>
      <c r="E249" s="2" t="s">
        <v>12</v>
      </c>
      <c r="F249" s="2">
        <v>17</v>
      </c>
      <c r="G249" s="2">
        <v>710.32</v>
      </c>
      <c r="H249" s="5">
        <v>12075.44</v>
      </c>
    </row>
    <row r="250" spans="1:8" x14ac:dyDescent="0.25">
      <c r="A250" s="4">
        <v>1249</v>
      </c>
      <c r="B250" s="3">
        <v>45339</v>
      </c>
      <c r="C250" s="2" t="s">
        <v>11</v>
      </c>
      <c r="D250" s="2" t="s">
        <v>20</v>
      </c>
      <c r="E250" s="2" t="s">
        <v>12</v>
      </c>
      <c r="F250" s="2">
        <v>19</v>
      </c>
      <c r="G250" s="2">
        <v>1134.43</v>
      </c>
      <c r="H250" s="5">
        <v>21554.17</v>
      </c>
    </row>
    <row r="251" spans="1:8" x14ac:dyDescent="0.25">
      <c r="A251" s="4">
        <v>1250</v>
      </c>
      <c r="B251" s="3">
        <v>45402</v>
      </c>
      <c r="C251" s="2" t="s">
        <v>11</v>
      </c>
      <c r="D251" s="2" t="s">
        <v>15</v>
      </c>
      <c r="E251" s="2" t="s">
        <v>16</v>
      </c>
      <c r="F251" s="2">
        <v>13</v>
      </c>
      <c r="G251" s="2">
        <v>305.27999999999997</v>
      </c>
      <c r="H251" s="5">
        <v>3968.639999999999</v>
      </c>
    </row>
    <row r="252" spans="1:8" x14ac:dyDescent="0.25">
      <c r="A252" s="4">
        <v>1251</v>
      </c>
      <c r="B252" s="3">
        <v>45561</v>
      </c>
      <c r="C252" s="2" t="s">
        <v>17</v>
      </c>
      <c r="D252" s="2" t="s">
        <v>18</v>
      </c>
      <c r="E252" s="2" t="s">
        <v>21</v>
      </c>
      <c r="F252" s="2">
        <v>4</v>
      </c>
      <c r="G252" s="2">
        <v>319.91000000000003</v>
      </c>
      <c r="H252" s="5">
        <v>1279.6400000000001</v>
      </c>
    </row>
    <row r="253" spans="1:8" x14ac:dyDescent="0.25">
      <c r="A253" s="4">
        <v>1252</v>
      </c>
      <c r="B253" s="3">
        <v>45334</v>
      </c>
      <c r="C253" s="2" t="s">
        <v>19</v>
      </c>
      <c r="D253" s="2" t="s">
        <v>9</v>
      </c>
      <c r="E253" s="2" t="s">
        <v>10</v>
      </c>
      <c r="F253" s="2">
        <v>1</v>
      </c>
      <c r="G253" s="2">
        <v>143.74</v>
      </c>
      <c r="H253" s="5">
        <v>143.74</v>
      </c>
    </row>
    <row r="254" spans="1:8" x14ac:dyDescent="0.25">
      <c r="A254" s="4">
        <v>1253</v>
      </c>
      <c r="B254" s="3">
        <v>45292</v>
      </c>
      <c r="C254" s="2" t="s">
        <v>11</v>
      </c>
      <c r="D254" s="2" t="s">
        <v>9</v>
      </c>
      <c r="E254" s="2" t="s">
        <v>10</v>
      </c>
      <c r="F254" s="2">
        <v>18</v>
      </c>
      <c r="G254" s="2">
        <v>100.93</v>
      </c>
      <c r="H254" s="5">
        <v>1816.74</v>
      </c>
    </row>
    <row r="255" spans="1:8" x14ac:dyDescent="0.25">
      <c r="A255" s="4">
        <v>1254</v>
      </c>
      <c r="B255" s="3">
        <v>45304</v>
      </c>
      <c r="C255" s="2" t="s">
        <v>8</v>
      </c>
      <c r="D255" s="2" t="s">
        <v>15</v>
      </c>
      <c r="E255" s="2" t="s">
        <v>12</v>
      </c>
      <c r="F255" s="2">
        <v>17</v>
      </c>
      <c r="G255" s="2">
        <v>1179.8599999999999</v>
      </c>
      <c r="H255" s="5">
        <v>20057.62</v>
      </c>
    </row>
    <row r="256" spans="1:8" x14ac:dyDescent="0.25">
      <c r="A256" s="4">
        <v>1255</v>
      </c>
      <c r="B256" s="3">
        <v>45399</v>
      </c>
      <c r="C256" s="2" t="s">
        <v>17</v>
      </c>
      <c r="D256" s="2" t="s">
        <v>9</v>
      </c>
      <c r="E256" s="2" t="s">
        <v>10</v>
      </c>
      <c r="F256" s="2">
        <v>16</v>
      </c>
      <c r="G256" s="2">
        <v>1087.7</v>
      </c>
      <c r="H256" s="5">
        <v>17403.2</v>
      </c>
    </row>
    <row r="257" spans="1:8" x14ac:dyDescent="0.25">
      <c r="A257" s="4">
        <v>1256</v>
      </c>
      <c r="B257" s="3">
        <v>45461</v>
      </c>
      <c r="C257" s="2" t="s">
        <v>19</v>
      </c>
      <c r="D257" s="2" t="s">
        <v>18</v>
      </c>
      <c r="E257" s="2" t="s">
        <v>16</v>
      </c>
      <c r="F257" s="2">
        <v>16</v>
      </c>
      <c r="G257" s="2">
        <v>583.07000000000005</v>
      </c>
      <c r="H257" s="5">
        <v>9329.1200000000008</v>
      </c>
    </row>
    <row r="258" spans="1:8" x14ac:dyDescent="0.25">
      <c r="A258" s="4">
        <v>1257</v>
      </c>
      <c r="B258" s="3">
        <v>45380</v>
      </c>
      <c r="C258" s="2" t="s">
        <v>17</v>
      </c>
      <c r="D258" s="2" t="s">
        <v>20</v>
      </c>
      <c r="E258" s="2" t="s">
        <v>10</v>
      </c>
      <c r="F258" s="2">
        <v>7</v>
      </c>
      <c r="G258" s="2">
        <v>96.69</v>
      </c>
      <c r="H258" s="5">
        <v>676.82999999999993</v>
      </c>
    </row>
    <row r="259" spans="1:8" x14ac:dyDescent="0.25">
      <c r="A259" s="4">
        <v>1258</v>
      </c>
      <c r="B259" s="3">
        <v>45517</v>
      </c>
      <c r="C259" s="2" t="s">
        <v>13</v>
      </c>
      <c r="D259" s="2" t="s">
        <v>20</v>
      </c>
      <c r="E259" s="2" t="s">
        <v>21</v>
      </c>
      <c r="F259" s="2">
        <v>16</v>
      </c>
      <c r="G259" s="2">
        <v>1470.54</v>
      </c>
      <c r="H259" s="5">
        <v>23528.639999999999</v>
      </c>
    </row>
    <row r="260" spans="1:8" x14ac:dyDescent="0.25">
      <c r="A260" s="4">
        <v>1259</v>
      </c>
      <c r="B260" s="3">
        <v>45310</v>
      </c>
      <c r="C260" s="2" t="s">
        <v>13</v>
      </c>
      <c r="D260" s="2" t="s">
        <v>20</v>
      </c>
      <c r="E260" s="2" t="s">
        <v>12</v>
      </c>
      <c r="F260" s="2">
        <v>12</v>
      </c>
      <c r="G260" s="2">
        <v>530.97</v>
      </c>
      <c r="H260" s="5">
        <v>6371.64</v>
      </c>
    </row>
    <row r="261" spans="1:8" x14ac:dyDescent="0.25">
      <c r="A261" s="4">
        <v>1260</v>
      </c>
      <c r="B261" s="3">
        <v>45544</v>
      </c>
      <c r="C261" s="2" t="s">
        <v>11</v>
      </c>
      <c r="D261" s="2" t="s">
        <v>20</v>
      </c>
      <c r="E261" s="2" t="s">
        <v>16</v>
      </c>
      <c r="F261" s="2">
        <v>18</v>
      </c>
      <c r="G261" s="2">
        <v>192.85</v>
      </c>
      <c r="H261" s="5">
        <v>3471.3</v>
      </c>
    </row>
    <row r="262" spans="1:8" x14ac:dyDescent="0.25">
      <c r="A262" s="4">
        <v>1261</v>
      </c>
      <c r="B262" s="3">
        <v>45386</v>
      </c>
      <c r="C262" s="2" t="s">
        <v>11</v>
      </c>
      <c r="D262" s="2" t="s">
        <v>9</v>
      </c>
      <c r="E262" s="2" t="s">
        <v>16</v>
      </c>
      <c r="F262" s="2">
        <v>7</v>
      </c>
      <c r="G262" s="2">
        <v>915.54</v>
      </c>
      <c r="H262" s="5">
        <v>6408.78</v>
      </c>
    </row>
    <row r="263" spans="1:8" x14ac:dyDescent="0.25">
      <c r="A263" s="4">
        <v>1262</v>
      </c>
      <c r="B263" s="3">
        <v>45322</v>
      </c>
      <c r="C263" s="2" t="s">
        <v>11</v>
      </c>
      <c r="D263" s="2" t="s">
        <v>9</v>
      </c>
      <c r="E263" s="2" t="s">
        <v>21</v>
      </c>
      <c r="F263" s="2">
        <v>18</v>
      </c>
      <c r="G263" s="2">
        <v>543.25</v>
      </c>
      <c r="H263" s="5">
        <v>9778.5</v>
      </c>
    </row>
    <row r="264" spans="1:8" x14ac:dyDescent="0.25">
      <c r="A264" s="4">
        <v>1263</v>
      </c>
      <c r="B264" s="3">
        <v>45558</v>
      </c>
      <c r="C264" s="2" t="s">
        <v>11</v>
      </c>
      <c r="D264" s="2" t="s">
        <v>15</v>
      </c>
      <c r="E264" s="2" t="s">
        <v>12</v>
      </c>
      <c r="F264" s="2">
        <v>19</v>
      </c>
      <c r="G264" s="2">
        <v>1150.32</v>
      </c>
      <c r="H264" s="5">
        <v>21856.080000000002</v>
      </c>
    </row>
    <row r="265" spans="1:8" x14ac:dyDescent="0.25">
      <c r="A265" s="4">
        <v>1264</v>
      </c>
      <c r="B265" s="3">
        <v>45605</v>
      </c>
      <c r="C265" s="2" t="s">
        <v>17</v>
      </c>
      <c r="D265" s="2" t="s">
        <v>9</v>
      </c>
      <c r="E265" s="2" t="s">
        <v>10</v>
      </c>
      <c r="F265" s="2">
        <v>10</v>
      </c>
      <c r="G265" s="2">
        <v>588.97</v>
      </c>
      <c r="H265" s="5">
        <v>5889.7000000000007</v>
      </c>
    </row>
    <row r="266" spans="1:8" x14ac:dyDescent="0.25">
      <c r="A266" s="4">
        <v>1265</v>
      </c>
      <c r="B266" s="3">
        <v>45449</v>
      </c>
      <c r="C266" s="2" t="s">
        <v>19</v>
      </c>
      <c r="D266" s="2" t="s">
        <v>18</v>
      </c>
      <c r="E266" s="2" t="s">
        <v>14</v>
      </c>
      <c r="F266" s="2">
        <v>3</v>
      </c>
      <c r="G266" s="2">
        <v>1344.79</v>
      </c>
      <c r="H266" s="5">
        <v>4034.37</v>
      </c>
    </row>
    <row r="267" spans="1:8" x14ac:dyDescent="0.25">
      <c r="A267" s="4">
        <v>1266</v>
      </c>
      <c r="B267" s="3">
        <v>45614</v>
      </c>
      <c r="C267" s="2" t="s">
        <v>13</v>
      </c>
      <c r="D267" s="2" t="s">
        <v>18</v>
      </c>
      <c r="E267" s="2" t="s">
        <v>14</v>
      </c>
      <c r="F267" s="2">
        <v>4</v>
      </c>
      <c r="G267" s="2">
        <v>415.83</v>
      </c>
      <c r="H267" s="5">
        <v>1663.32</v>
      </c>
    </row>
    <row r="268" spans="1:8" x14ac:dyDescent="0.25">
      <c r="A268" s="4">
        <v>1267</v>
      </c>
      <c r="B268" s="3">
        <v>45335</v>
      </c>
      <c r="C268" s="2" t="s">
        <v>17</v>
      </c>
      <c r="D268" s="2" t="s">
        <v>9</v>
      </c>
      <c r="E268" s="2" t="s">
        <v>21</v>
      </c>
      <c r="F268" s="2">
        <v>2</v>
      </c>
      <c r="G268" s="2">
        <v>578.62</v>
      </c>
      <c r="H268" s="5">
        <v>1157.24</v>
      </c>
    </row>
    <row r="269" spans="1:8" x14ac:dyDescent="0.25">
      <c r="A269" s="4">
        <v>1268</v>
      </c>
      <c r="B269" s="3">
        <v>45478</v>
      </c>
      <c r="C269" s="2" t="s">
        <v>8</v>
      </c>
      <c r="D269" s="2" t="s">
        <v>9</v>
      </c>
      <c r="E269" s="2" t="s">
        <v>10</v>
      </c>
      <c r="F269" s="2">
        <v>15</v>
      </c>
      <c r="G269" s="2">
        <v>1113</v>
      </c>
      <c r="H269" s="5">
        <v>16695</v>
      </c>
    </row>
    <row r="270" spans="1:8" x14ac:dyDescent="0.25">
      <c r="A270" s="4">
        <v>1269</v>
      </c>
      <c r="B270" s="3">
        <v>45317</v>
      </c>
      <c r="C270" s="2" t="s">
        <v>8</v>
      </c>
      <c r="D270" s="2" t="s">
        <v>15</v>
      </c>
      <c r="E270" s="2" t="s">
        <v>21</v>
      </c>
      <c r="F270" s="2">
        <v>11</v>
      </c>
      <c r="G270" s="2">
        <v>1341.46</v>
      </c>
      <c r="H270" s="5">
        <v>14756.06</v>
      </c>
    </row>
    <row r="271" spans="1:8" x14ac:dyDescent="0.25">
      <c r="A271" s="4">
        <v>1270</v>
      </c>
      <c r="B271" s="3">
        <v>45328</v>
      </c>
      <c r="C271" s="2" t="s">
        <v>8</v>
      </c>
      <c r="D271" s="2" t="s">
        <v>18</v>
      </c>
      <c r="E271" s="2" t="s">
        <v>14</v>
      </c>
      <c r="F271" s="2">
        <v>10</v>
      </c>
      <c r="G271" s="2">
        <v>882.16</v>
      </c>
      <c r="H271" s="5">
        <v>8821.6</v>
      </c>
    </row>
    <row r="272" spans="1:8" x14ac:dyDescent="0.25">
      <c r="A272" s="4">
        <v>1271</v>
      </c>
      <c r="B272" s="3">
        <v>45515</v>
      </c>
      <c r="C272" s="2" t="s">
        <v>19</v>
      </c>
      <c r="D272" s="2" t="s">
        <v>20</v>
      </c>
      <c r="E272" s="2" t="s">
        <v>21</v>
      </c>
      <c r="F272" s="2">
        <v>6</v>
      </c>
      <c r="G272" s="2">
        <v>1484.58</v>
      </c>
      <c r="H272" s="5">
        <v>8907.48</v>
      </c>
    </row>
    <row r="273" spans="1:8" x14ac:dyDescent="0.25">
      <c r="A273" s="4">
        <v>1272</v>
      </c>
      <c r="B273" s="3">
        <v>45377</v>
      </c>
      <c r="C273" s="2" t="s">
        <v>8</v>
      </c>
      <c r="D273" s="2" t="s">
        <v>15</v>
      </c>
      <c r="E273" s="2" t="s">
        <v>14</v>
      </c>
      <c r="F273" s="2">
        <v>4</v>
      </c>
      <c r="G273" s="2">
        <v>692.22</v>
      </c>
      <c r="H273" s="5">
        <v>2768.88</v>
      </c>
    </row>
    <row r="274" spans="1:8" x14ac:dyDescent="0.25">
      <c r="A274" s="4">
        <v>1273</v>
      </c>
      <c r="B274" s="3">
        <v>45506</v>
      </c>
      <c r="C274" s="2" t="s">
        <v>19</v>
      </c>
      <c r="D274" s="2" t="s">
        <v>9</v>
      </c>
      <c r="E274" s="2" t="s">
        <v>16</v>
      </c>
      <c r="F274" s="2">
        <v>15</v>
      </c>
      <c r="G274" s="2">
        <v>1387.11</v>
      </c>
      <c r="H274" s="5">
        <v>20806.650000000001</v>
      </c>
    </row>
    <row r="275" spans="1:8" x14ac:dyDescent="0.25">
      <c r="A275" s="4">
        <v>1274</v>
      </c>
      <c r="B275" s="3">
        <v>45637</v>
      </c>
      <c r="C275" s="2" t="s">
        <v>17</v>
      </c>
      <c r="D275" s="2" t="s">
        <v>20</v>
      </c>
      <c r="E275" s="2" t="s">
        <v>10</v>
      </c>
      <c r="F275" s="2">
        <v>10</v>
      </c>
      <c r="G275" s="2">
        <v>1267.46</v>
      </c>
      <c r="H275" s="5">
        <v>12674.6</v>
      </c>
    </row>
    <row r="276" spans="1:8" x14ac:dyDescent="0.25">
      <c r="A276" s="4">
        <v>1275</v>
      </c>
      <c r="B276" s="3">
        <v>45593</v>
      </c>
      <c r="C276" s="2" t="s">
        <v>17</v>
      </c>
      <c r="D276" s="2" t="s">
        <v>15</v>
      </c>
      <c r="E276" s="2" t="s">
        <v>16</v>
      </c>
      <c r="F276" s="2">
        <v>14</v>
      </c>
      <c r="G276" s="2">
        <v>1061.58</v>
      </c>
      <c r="H276" s="5">
        <v>14862.12</v>
      </c>
    </row>
    <row r="277" spans="1:8" x14ac:dyDescent="0.25">
      <c r="A277" s="4">
        <v>1276</v>
      </c>
      <c r="B277" s="3">
        <v>45564</v>
      </c>
      <c r="C277" s="2" t="s">
        <v>8</v>
      </c>
      <c r="D277" s="2" t="s">
        <v>20</v>
      </c>
      <c r="E277" s="2" t="s">
        <v>10</v>
      </c>
      <c r="F277" s="2">
        <v>15</v>
      </c>
      <c r="G277" s="2">
        <v>224.76</v>
      </c>
      <c r="H277" s="5">
        <v>3371.4</v>
      </c>
    </row>
    <row r="278" spans="1:8" x14ac:dyDescent="0.25">
      <c r="A278" s="4">
        <v>1277</v>
      </c>
      <c r="B278" s="3">
        <v>45465</v>
      </c>
      <c r="C278" s="2" t="s">
        <v>11</v>
      </c>
      <c r="D278" s="2" t="s">
        <v>15</v>
      </c>
      <c r="E278" s="2" t="s">
        <v>12</v>
      </c>
      <c r="F278" s="2">
        <v>12</v>
      </c>
      <c r="G278" s="2">
        <v>764.01</v>
      </c>
      <c r="H278" s="5">
        <v>9168.119999999999</v>
      </c>
    </row>
    <row r="279" spans="1:8" x14ac:dyDescent="0.25">
      <c r="A279" s="4">
        <v>1278</v>
      </c>
      <c r="B279" s="3">
        <v>45316</v>
      </c>
      <c r="C279" s="2" t="s">
        <v>11</v>
      </c>
      <c r="D279" s="2" t="s">
        <v>15</v>
      </c>
      <c r="E279" s="2" t="s">
        <v>10</v>
      </c>
      <c r="F279" s="2">
        <v>11</v>
      </c>
      <c r="G279" s="2">
        <v>1206.01</v>
      </c>
      <c r="H279" s="5">
        <v>13266.11</v>
      </c>
    </row>
    <row r="280" spans="1:8" x14ac:dyDescent="0.25">
      <c r="A280" s="4">
        <v>1279</v>
      </c>
      <c r="B280" s="3">
        <v>45565</v>
      </c>
      <c r="C280" s="2" t="s">
        <v>17</v>
      </c>
      <c r="D280" s="2" t="s">
        <v>18</v>
      </c>
      <c r="E280" s="2" t="s">
        <v>16</v>
      </c>
      <c r="F280" s="2">
        <v>9</v>
      </c>
      <c r="G280" s="2">
        <v>646.66</v>
      </c>
      <c r="H280" s="5">
        <v>5819.94</v>
      </c>
    </row>
    <row r="281" spans="1:8" x14ac:dyDescent="0.25">
      <c r="A281" s="4">
        <v>1280</v>
      </c>
      <c r="B281" s="3">
        <v>45607</v>
      </c>
      <c r="C281" s="2" t="s">
        <v>13</v>
      </c>
      <c r="D281" s="2" t="s">
        <v>9</v>
      </c>
      <c r="E281" s="2" t="s">
        <v>12</v>
      </c>
      <c r="F281" s="2">
        <v>5</v>
      </c>
      <c r="G281" s="2">
        <v>998.32</v>
      </c>
      <c r="H281" s="5">
        <v>4991.6000000000004</v>
      </c>
    </row>
    <row r="282" spans="1:8" x14ac:dyDescent="0.25">
      <c r="A282" s="4">
        <v>1281</v>
      </c>
      <c r="B282" s="3">
        <v>45445</v>
      </c>
      <c r="C282" s="2" t="s">
        <v>11</v>
      </c>
      <c r="D282" s="2" t="s">
        <v>9</v>
      </c>
      <c r="E282" s="2" t="s">
        <v>16</v>
      </c>
      <c r="F282" s="2">
        <v>13</v>
      </c>
      <c r="G282" s="2">
        <v>715.56</v>
      </c>
      <c r="H282" s="5">
        <v>9302.2799999999988</v>
      </c>
    </row>
    <row r="283" spans="1:8" x14ac:dyDescent="0.25">
      <c r="A283" s="4">
        <v>1282</v>
      </c>
      <c r="B283" s="3">
        <v>45627</v>
      </c>
      <c r="C283" s="2" t="s">
        <v>17</v>
      </c>
      <c r="D283" s="2" t="s">
        <v>20</v>
      </c>
      <c r="E283" s="2" t="s">
        <v>14</v>
      </c>
      <c r="F283" s="2">
        <v>19</v>
      </c>
      <c r="G283" s="2">
        <v>125.87</v>
      </c>
      <c r="H283" s="5">
        <v>2391.5300000000002</v>
      </c>
    </row>
    <row r="284" spans="1:8" x14ac:dyDescent="0.25">
      <c r="A284" s="4">
        <v>1283</v>
      </c>
      <c r="B284" s="3">
        <v>45507</v>
      </c>
      <c r="C284" s="2" t="s">
        <v>19</v>
      </c>
      <c r="D284" s="2" t="s">
        <v>18</v>
      </c>
      <c r="E284" s="2" t="s">
        <v>12</v>
      </c>
      <c r="F284" s="2">
        <v>12</v>
      </c>
      <c r="G284" s="2">
        <v>1385.58</v>
      </c>
      <c r="H284" s="5">
        <v>16626.96</v>
      </c>
    </row>
    <row r="285" spans="1:8" x14ac:dyDescent="0.25">
      <c r="A285" s="4">
        <v>1284</v>
      </c>
      <c r="B285" s="3">
        <v>45350</v>
      </c>
      <c r="C285" s="2" t="s">
        <v>13</v>
      </c>
      <c r="D285" s="2" t="s">
        <v>20</v>
      </c>
      <c r="E285" s="2" t="s">
        <v>14</v>
      </c>
      <c r="F285" s="2">
        <v>19</v>
      </c>
      <c r="G285" s="2">
        <v>1380.08</v>
      </c>
      <c r="H285" s="5">
        <v>26221.52</v>
      </c>
    </row>
    <row r="286" spans="1:8" x14ac:dyDescent="0.25">
      <c r="A286" s="4">
        <v>1285</v>
      </c>
      <c r="B286" s="3">
        <v>45541</v>
      </c>
      <c r="C286" s="2" t="s">
        <v>11</v>
      </c>
      <c r="D286" s="2" t="s">
        <v>20</v>
      </c>
      <c r="E286" s="2" t="s">
        <v>14</v>
      </c>
      <c r="F286" s="2">
        <v>15</v>
      </c>
      <c r="G286" s="2">
        <v>216.97</v>
      </c>
      <c r="H286" s="5">
        <v>3254.55</v>
      </c>
    </row>
    <row r="287" spans="1:8" x14ac:dyDescent="0.25">
      <c r="A287" s="4">
        <v>1286</v>
      </c>
      <c r="B287" s="3">
        <v>45600</v>
      </c>
      <c r="C287" s="2" t="s">
        <v>19</v>
      </c>
      <c r="D287" s="2" t="s">
        <v>15</v>
      </c>
      <c r="E287" s="2" t="s">
        <v>10</v>
      </c>
      <c r="F287" s="2">
        <v>17</v>
      </c>
      <c r="G287" s="2">
        <v>57.64</v>
      </c>
      <c r="H287" s="5">
        <v>979.88</v>
      </c>
    </row>
    <row r="288" spans="1:8" x14ac:dyDescent="0.25">
      <c r="A288" s="4">
        <v>1287</v>
      </c>
      <c r="B288" s="3">
        <v>45353</v>
      </c>
      <c r="C288" s="2" t="s">
        <v>13</v>
      </c>
      <c r="D288" s="2" t="s">
        <v>20</v>
      </c>
      <c r="E288" s="2" t="s">
        <v>16</v>
      </c>
      <c r="F288" s="2">
        <v>7</v>
      </c>
      <c r="G288" s="2">
        <v>495.55</v>
      </c>
      <c r="H288" s="5">
        <v>3468.85</v>
      </c>
    </row>
    <row r="289" spans="1:8" x14ac:dyDescent="0.25">
      <c r="A289" s="4">
        <v>1288</v>
      </c>
      <c r="B289" s="3">
        <v>45300</v>
      </c>
      <c r="C289" s="2" t="s">
        <v>8</v>
      </c>
      <c r="D289" s="2" t="s">
        <v>18</v>
      </c>
      <c r="E289" s="2" t="s">
        <v>12</v>
      </c>
      <c r="F289" s="2">
        <v>16</v>
      </c>
      <c r="G289" s="2">
        <v>505.38</v>
      </c>
      <c r="H289" s="5">
        <v>8086.08</v>
      </c>
    </row>
    <row r="290" spans="1:8" x14ac:dyDescent="0.25">
      <c r="A290" s="4">
        <v>1289</v>
      </c>
      <c r="B290" s="3">
        <v>45625</v>
      </c>
      <c r="C290" s="2" t="s">
        <v>17</v>
      </c>
      <c r="D290" s="2" t="s">
        <v>15</v>
      </c>
      <c r="E290" s="2" t="s">
        <v>10</v>
      </c>
      <c r="F290" s="2">
        <v>13</v>
      </c>
      <c r="G290" s="2">
        <v>1103.42</v>
      </c>
      <c r="H290" s="5">
        <v>14344.46</v>
      </c>
    </row>
    <row r="291" spans="1:8" x14ac:dyDescent="0.25">
      <c r="A291" s="4">
        <v>1290</v>
      </c>
      <c r="B291" s="3">
        <v>45304</v>
      </c>
      <c r="C291" s="2" t="s">
        <v>13</v>
      </c>
      <c r="D291" s="2" t="s">
        <v>9</v>
      </c>
      <c r="E291" s="2" t="s">
        <v>14</v>
      </c>
      <c r="F291" s="2">
        <v>14</v>
      </c>
      <c r="G291" s="2">
        <v>509.9</v>
      </c>
      <c r="H291" s="5">
        <v>7138.5999999999995</v>
      </c>
    </row>
    <row r="292" spans="1:8" x14ac:dyDescent="0.25">
      <c r="A292" s="4">
        <v>1291</v>
      </c>
      <c r="B292" s="3">
        <v>45410</v>
      </c>
      <c r="C292" s="2" t="s">
        <v>13</v>
      </c>
      <c r="D292" s="2" t="s">
        <v>15</v>
      </c>
      <c r="E292" s="2" t="s">
        <v>14</v>
      </c>
      <c r="F292" s="2">
        <v>2</v>
      </c>
      <c r="G292" s="2">
        <v>1372.39</v>
      </c>
      <c r="H292" s="5">
        <v>2744.78</v>
      </c>
    </row>
    <row r="293" spans="1:8" x14ac:dyDescent="0.25">
      <c r="A293" s="4">
        <v>1292</v>
      </c>
      <c r="B293" s="3">
        <v>45517</v>
      </c>
      <c r="C293" s="2" t="s">
        <v>8</v>
      </c>
      <c r="D293" s="2" t="s">
        <v>9</v>
      </c>
      <c r="E293" s="2" t="s">
        <v>14</v>
      </c>
      <c r="F293" s="2">
        <v>18</v>
      </c>
      <c r="G293" s="2">
        <v>995.78</v>
      </c>
      <c r="H293" s="5">
        <v>17924.04</v>
      </c>
    </row>
    <row r="294" spans="1:8" x14ac:dyDescent="0.25">
      <c r="A294" s="4">
        <v>1293</v>
      </c>
      <c r="B294" s="3">
        <v>45489</v>
      </c>
      <c r="C294" s="2" t="s">
        <v>11</v>
      </c>
      <c r="D294" s="2" t="s">
        <v>9</v>
      </c>
      <c r="E294" s="2" t="s">
        <v>14</v>
      </c>
      <c r="F294" s="2">
        <v>18</v>
      </c>
      <c r="G294" s="2">
        <v>208.3</v>
      </c>
      <c r="H294" s="5">
        <v>3749.4</v>
      </c>
    </row>
    <row r="295" spans="1:8" x14ac:dyDescent="0.25">
      <c r="A295" s="4">
        <v>1294</v>
      </c>
      <c r="B295" s="3">
        <v>45485</v>
      </c>
      <c r="C295" s="2" t="s">
        <v>17</v>
      </c>
      <c r="D295" s="2" t="s">
        <v>15</v>
      </c>
      <c r="E295" s="2" t="s">
        <v>10</v>
      </c>
      <c r="F295" s="2">
        <v>11</v>
      </c>
      <c r="G295" s="2">
        <v>705.09</v>
      </c>
      <c r="H295" s="5">
        <v>7755.9900000000007</v>
      </c>
    </row>
    <row r="296" spans="1:8" x14ac:dyDescent="0.25">
      <c r="A296" s="4">
        <v>1295</v>
      </c>
      <c r="B296" s="3">
        <v>45389</v>
      </c>
      <c r="C296" s="2" t="s">
        <v>11</v>
      </c>
      <c r="D296" s="2" t="s">
        <v>18</v>
      </c>
      <c r="E296" s="2" t="s">
        <v>10</v>
      </c>
      <c r="F296" s="2">
        <v>2</v>
      </c>
      <c r="G296" s="2">
        <v>1498.48</v>
      </c>
      <c r="H296" s="5">
        <v>2996.96</v>
      </c>
    </row>
    <row r="297" spans="1:8" x14ac:dyDescent="0.25">
      <c r="A297" s="4">
        <v>1296</v>
      </c>
      <c r="B297" s="3">
        <v>45507</v>
      </c>
      <c r="C297" s="2" t="s">
        <v>19</v>
      </c>
      <c r="D297" s="2" t="s">
        <v>18</v>
      </c>
      <c r="E297" s="2" t="s">
        <v>21</v>
      </c>
      <c r="F297" s="2">
        <v>9</v>
      </c>
      <c r="G297" s="2">
        <v>505.95</v>
      </c>
      <c r="H297" s="5">
        <v>4553.55</v>
      </c>
    </row>
    <row r="298" spans="1:8" x14ac:dyDescent="0.25">
      <c r="A298" s="4">
        <v>1297</v>
      </c>
      <c r="B298" s="3">
        <v>45421</v>
      </c>
      <c r="C298" s="2" t="s">
        <v>8</v>
      </c>
      <c r="D298" s="2" t="s">
        <v>20</v>
      </c>
      <c r="E298" s="2" t="s">
        <v>14</v>
      </c>
      <c r="F298" s="2">
        <v>1</v>
      </c>
      <c r="G298" s="2">
        <v>415.53</v>
      </c>
      <c r="H298" s="5">
        <v>415.53</v>
      </c>
    </row>
    <row r="299" spans="1:8" x14ac:dyDescent="0.25">
      <c r="A299" s="4">
        <v>1298</v>
      </c>
      <c r="B299" s="3">
        <v>45509</v>
      </c>
      <c r="C299" s="2" t="s">
        <v>19</v>
      </c>
      <c r="D299" s="2" t="s">
        <v>9</v>
      </c>
      <c r="E299" s="2" t="s">
        <v>21</v>
      </c>
      <c r="F299" s="2">
        <v>18</v>
      </c>
      <c r="G299" s="2">
        <v>556.04</v>
      </c>
      <c r="H299" s="5">
        <v>10008.719999999999</v>
      </c>
    </row>
    <row r="300" spans="1:8" x14ac:dyDescent="0.25">
      <c r="A300" s="4">
        <v>1299</v>
      </c>
      <c r="B300" s="3">
        <v>45619</v>
      </c>
      <c r="C300" s="2" t="s">
        <v>13</v>
      </c>
      <c r="D300" s="2" t="s">
        <v>18</v>
      </c>
      <c r="E300" s="2" t="s">
        <v>14</v>
      </c>
      <c r="F300" s="2">
        <v>18</v>
      </c>
      <c r="G300" s="2">
        <v>1329.06</v>
      </c>
      <c r="H300" s="5">
        <v>23923.08</v>
      </c>
    </row>
    <row r="301" spans="1:8" x14ac:dyDescent="0.25">
      <c r="A301" s="4">
        <v>1300</v>
      </c>
      <c r="B301" s="3">
        <v>45404</v>
      </c>
      <c r="C301" s="2" t="s">
        <v>11</v>
      </c>
      <c r="D301" s="2" t="s">
        <v>20</v>
      </c>
      <c r="E301" s="2" t="s">
        <v>21</v>
      </c>
      <c r="F301" s="2">
        <v>14</v>
      </c>
      <c r="G301" s="2">
        <v>788.85</v>
      </c>
      <c r="H301" s="5">
        <v>11043.9</v>
      </c>
    </row>
    <row r="302" spans="1:8" x14ac:dyDescent="0.25">
      <c r="A302" s="4">
        <v>1301</v>
      </c>
      <c r="B302" s="3">
        <v>45466</v>
      </c>
      <c r="C302" s="2" t="s">
        <v>17</v>
      </c>
      <c r="D302" s="2" t="s">
        <v>9</v>
      </c>
      <c r="E302" s="2" t="s">
        <v>12</v>
      </c>
      <c r="F302" s="2">
        <v>5</v>
      </c>
      <c r="G302" s="2">
        <v>650.47</v>
      </c>
      <c r="H302" s="5">
        <v>3252.35</v>
      </c>
    </row>
    <row r="303" spans="1:8" x14ac:dyDescent="0.25">
      <c r="A303" s="4">
        <v>1302</v>
      </c>
      <c r="B303" s="3">
        <v>45450</v>
      </c>
      <c r="C303" s="2" t="s">
        <v>17</v>
      </c>
      <c r="D303" s="2" t="s">
        <v>9</v>
      </c>
      <c r="E303" s="2" t="s">
        <v>14</v>
      </c>
      <c r="F303" s="2">
        <v>10</v>
      </c>
      <c r="G303" s="2">
        <v>209</v>
      </c>
      <c r="H303" s="5">
        <v>2090</v>
      </c>
    </row>
    <row r="304" spans="1:8" x14ac:dyDescent="0.25">
      <c r="A304" s="4">
        <v>1303</v>
      </c>
      <c r="B304" s="3">
        <v>45328</v>
      </c>
      <c r="C304" s="2" t="s">
        <v>11</v>
      </c>
      <c r="D304" s="2" t="s">
        <v>20</v>
      </c>
      <c r="E304" s="2" t="s">
        <v>21</v>
      </c>
      <c r="F304" s="2">
        <v>3</v>
      </c>
      <c r="G304" s="2">
        <v>1132.56</v>
      </c>
      <c r="H304" s="5">
        <v>3397.68</v>
      </c>
    </row>
    <row r="305" spans="1:8" x14ac:dyDescent="0.25">
      <c r="A305" s="4">
        <v>1304</v>
      </c>
      <c r="B305" s="3">
        <v>45466</v>
      </c>
      <c r="C305" s="2" t="s">
        <v>11</v>
      </c>
      <c r="D305" s="2" t="s">
        <v>18</v>
      </c>
      <c r="E305" s="2" t="s">
        <v>16</v>
      </c>
      <c r="F305" s="2">
        <v>9</v>
      </c>
      <c r="G305" s="2">
        <v>1347.26</v>
      </c>
      <c r="H305" s="5">
        <v>12125.34</v>
      </c>
    </row>
    <row r="306" spans="1:8" x14ac:dyDescent="0.25">
      <c r="A306" s="4">
        <v>1305</v>
      </c>
      <c r="B306" s="3">
        <v>45505</v>
      </c>
      <c r="C306" s="2" t="s">
        <v>19</v>
      </c>
      <c r="D306" s="2" t="s">
        <v>18</v>
      </c>
      <c r="E306" s="2" t="s">
        <v>12</v>
      </c>
      <c r="F306" s="2">
        <v>1</v>
      </c>
      <c r="G306" s="2">
        <v>1017.74</v>
      </c>
      <c r="H306" s="5">
        <v>1017.74</v>
      </c>
    </row>
    <row r="307" spans="1:8" x14ac:dyDescent="0.25">
      <c r="A307" s="4">
        <v>1306</v>
      </c>
      <c r="B307" s="3">
        <v>45539</v>
      </c>
      <c r="C307" s="2" t="s">
        <v>13</v>
      </c>
      <c r="D307" s="2" t="s">
        <v>18</v>
      </c>
      <c r="E307" s="2" t="s">
        <v>14</v>
      </c>
      <c r="F307" s="2">
        <v>8</v>
      </c>
      <c r="G307" s="2">
        <v>209.99</v>
      </c>
      <c r="H307" s="5">
        <v>1679.92</v>
      </c>
    </row>
    <row r="308" spans="1:8" x14ac:dyDescent="0.25">
      <c r="A308" s="4">
        <v>1307</v>
      </c>
      <c r="B308" s="3">
        <v>45453</v>
      </c>
      <c r="C308" s="2" t="s">
        <v>19</v>
      </c>
      <c r="D308" s="2" t="s">
        <v>15</v>
      </c>
      <c r="E308" s="2" t="s">
        <v>10</v>
      </c>
      <c r="F308" s="2">
        <v>3</v>
      </c>
      <c r="G308" s="2">
        <v>889.92</v>
      </c>
      <c r="H308" s="5">
        <v>2669.76</v>
      </c>
    </row>
    <row r="309" spans="1:8" x14ac:dyDescent="0.25">
      <c r="A309" s="4">
        <v>1308</v>
      </c>
      <c r="B309" s="3">
        <v>45480</v>
      </c>
      <c r="C309" s="2" t="s">
        <v>17</v>
      </c>
      <c r="D309" s="2" t="s">
        <v>9</v>
      </c>
      <c r="E309" s="2" t="s">
        <v>21</v>
      </c>
      <c r="F309" s="2">
        <v>15</v>
      </c>
      <c r="G309" s="2">
        <v>632.70000000000005</v>
      </c>
      <c r="H309" s="5">
        <v>9490.5</v>
      </c>
    </row>
    <row r="310" spans="1:8" x14ac:dyDescent="0.25">
      <c r="A310" s="4">
        <v>1309</v>
      </c>
      <c r="B310" s="3">
        <v>45587</v>
      </c>
      <c r="C310" s="2" t="s">
        <v>11</v>
      </c>
      <c r="D310" s="2" t="s">
        <v>9</v>
      </c>
      <c r="E310" s="2" t="s">
        <v>12</v>
      </c>
      <c r="F310" s="2">
        <v>7</v>
      </c>
      <c r="G310" s="2">
        <v>589.17999999999995</v>
      </c>
      <c r="H310" s="5">
        <v>4124.2599999999993</v>
      </c>
    </row>
    <row r="311" spans="1:8" x14ac:dyDescent="0.25">
      <c r="A311" s="4">
        <v>1310</v>
      </c>
      <c r="B311" s="3">
        <v>45486</v>
      </c>
      <c r="C311" s="2" t="s">
        <v>8</v>
      </c>
      <c r="D311" s="2" t="s">
        <v>18</v>
      </c>
      <c r="E311" s="2" t="s">
        <v>21</v>
      </c>
      <c r="F311" s="2">
        <v>11</v>
      </c>
      <c r="G311" s="2">
        <v>956.65</v>
      </c>
      <c r="H311" s="5">
        <v>10523.15</v>
      </c>
    </row>
    <row r="312" spans="1:8" x14ac:dyDescent="0.25">
      <c r="A312" s="4">
        <v>1311</v>
      </c>
      <c r="B312" s="3">
        <v>45458</v>
      </c>
      <c r="C312" s="2" t="s">
        <v>13</v>
      </c>
      <c r="D312" s="2" t="s">
        <v>9</v>
      </c>
      <c r="E312" s="2" t="s">
        <v>16</v>
      </c>
      <c r="F312" s="2">
        <v>3</v>
      </c>
      <c r="G312" s="2">
        <v>554.12</v>
      </c>
      <c r="H312" s="5">
        <v>1662.36</v>
      </c>
    </row>
    <row r="313" spans="1:8" x14ac:dyDescent="0.25">
      <c r="A313" s="4">
        <v>1312</v>
      </c>
      <c r="B313" s="3">
        <v>45329</v>
      </c>
      <c r="C313" s="2" t="s">
        <v>11</v>
      </c>
      <c r="D313" s="2" t="s">
        <v>9</v>
      </c>
      <c r="E313" s="2" t="s">
        <v>21</v>
      </c>
      <c r="F313" s="2">
        <v>2</v>
      </c>
      <c r="G313" s="2">
        <v>1278.49</v>
      </c>
      <c r="H313" s="5">
        <v>2556.98</v>
      </c>
    </row>
    <row r="314" spans="1:8" x14ac:dyDescent="0.25">
      <c r="A314" s="4">
        <v>1313</v>
      </c>
      <c r="B314" s="3">
        <v>45327</v>
      </c>
      <c r="C314" s="2" t="s">
        <v>13</v>
      </c>
      <c r="D314" s="2" t="s">
        <v>9</v>
      </c>
      <c r="E314" s="2" t="s">
        <v>14</v>
      </c>
      <c r="F314" s="2">
        <v>12</v>
      </c>
      <c r="G314" s="2">
        <v>363.9</v>
      </c>
      <c r="H314" s="5">
        <v>4366.7999999999993</v>
      </c>
    </row>
    <row r="315" spans="1:8" x14ac:dyDescent="0.25">
      <c r="A315" s="4">
        <v>1314</v>
      </c>
      <c r="B315" s="3">
        <v>45552</v>
      </c>
      <c r="C315" s="2" t="s">
        <v>17</v>
      </c>
      <c r="D315" s="2" t="s">
        <v>9</v>
      </c>
      <c r="E315" s="2" t="s">
        <v>16</v>
      </c>
      <c r="F315" s="2">
        <v>4</v>
      </c>
      <c r="G315" s="2">
        <v>1458.9</v>
      </c>
      <c r="H315" s="5">
        <v>5835.6</v>
      </c>
    </row>
    <row r="316" spans="1:8" x14ac:dyDescent="0.25">
      <c r="A316" s="4">
        <v>1315</v>
      </c>
      <c r="B316" s="3">
        <v>45491</v>
      </c>
      <c r="C316" s="2" t="s">
        <v>19</v>
      </c>
      <c r="D316" s="2" t="s">
        <v>18</v>
      </c>
      <c r="E316" s="2" t="s">
        <v>10</v>
      </c>
      <c r="F316" s="2">
        <v>2</v>
      </c>
      <c r="G316" s="2">
        <v>982.13</v>
      </c>
      <c r="H316" s="5">
        <v>1964.26</v>
      </c>
    </row>
    <row r="317" spans="1:8" x14ac:dyDescent="0.25">
      <c r="A317" s="4">
        <v>1316</v>
      </c>
      <c r="B317" s="3">
        <v>45650</v>
      </c>
      <c r="C317" s="2" t="s">
        <v>11</v>
      </c>
      <c r="D317" s="2" t="s">
        <v>20</v>
      </c>
      <c r="E317" s="2" t="s">
        <v>16</v>
      </c>
      <c r="F317" s="2">
        <v>10</v>
      </c>
      <c r="G317" s="2">
        <v>229.47</v>
      </c>
      <c r="H317" s="5">
        <v>2294.6999999999998</v>
      </c>
    </row>
    <row r="318" spans="1:8" x14ac:dyDescent="0.25">
      <c r="A318" s="4">
        <v>1317</v>
      </c>
      <c r="B318" s="3">
        <v>45537</v>
      </c>
      <c r="C318" s="2" t="s">
        <v>8</v>
      </c>
      <c r="D318" s="2" t="s">
        <v>15</v>
      </c>
      <c r="E318" s="2" t="s">
        <v>10</v>
      </c>
      <c r="F318" s="2">
        <v>17</v>
      </c>
      <c r="G318" s="2">
        <v>489.04</v>
      </c>
      <c r="H318" s="5">
        <v>8313.68</v>
      </c>
    </row>
    <row r="319" spans="1:8" x14ac:dyDescent="0.25">
      <c r="A319" s="4">
        <v>1318</v>
      </c>
      <c r="B319" s="3">
        <v>45588</v>
      </c>
      <c r="C319" s="2" t="s">
        <v>17</v>
      </c>
      <c r="D319" s="2" t="s">
        <v>20</v>
      </c>
      <c r="E319" s="2" t="s">
        <v>21</v>
      </c>
      <c r="F319" s="2">
        <v>17</v>
      </c>
      <c r="G319" s="2">
        <v>779.16</v>
      </c>
      <c r="H319" s="5">
        <v>13245.72</v>
      </c>
    </row>
    <row r="320" spans="1:8" x14ac:dyDescent="0.25">
      <c r="A320" s="4">
        <v>1319</v>
      </c>
      <c r="B320" s="3">
        <v>45460</v>
      </c>
      <c r="C320" s="2" t="s">
        <v>17</v>
      </c>
      <c r="D320" s="2" t="s">
        <v>18</v>
      </c>
      <c r="E320" s="2" t="s">
        <v>12</v>
      </c>
      <c r="F320" s="2">
        <v>11</v>
      </c>
      <c r="G320" s="2">
        <v>614.46</v>
      </c>
      <c r="H320" s="5">
        <v>6759.06</v>
      </c>
    </row>
    <row r="321" spans="1:8" x14ac:dyDescent="0.25">
      <c r="A321" s="4">
        <v>1320</v>
      </c>
      <c r="B321" s="3">
        <v>45458</v>
      </c>
      <c r="C321" s="2" t="s">
        <v>17</v>
      </c>
      <c r="D321" s="2" t="s">
        <v>18</v>
      </c>
      <c r="E321" s="2" t="s">
        <v>10</v>
      </c>
      <c r="F321" s="2">
        <v>2</v>
      </c>
      <c r="G321" s="2">
        <v>856.25</v>
      </c>
      <c r="H321" s="5">
        <v>1712.5</v>
      </c>
    </row>
    <row r="322" spans="1:8" x14ac:dyDescent="0.25">
      <c r="A322" s="4">
        <v>1321</v>
      </c>
      <c r="B322" s="3">
        <v>45378</v>
      </c>
      <c r="C322" s="2" t="s">
        <v>17</v>
      </c>
      <c r="D322" s="2" t="s">
        <v>20</v>
      </c>
      <c r="E322" s="2" t="s">
        <v>12</v>
      </c>
      <c r="F322" s="2">
        <v>5</v>
      </c>
      <c r="G322" s="2">
        <v>563.65</v>
      </c>
      <c r="H322" s="5">
        <v>2818.25</v>
      </c>
    </row>
    <row r="323" spans="1:8" x14ac:dyDescent="0.25">
      <c r="A323" s="4">
        <v>1322</v>
      </c>
      <c r="B323" s="3">
        <v>45641</v>
      </c>
      <c r="C323" s="2" t="s">
        <v>19</v>
      </c>
      <c r="D323" s="2" t="s">
        <v>15</v>
      </c>
      <c r="E323" s="2" t="s">
        <v>16</v>
      </c>
      <c r="F323" s="2">
        <v>1</v>
      </c>
      <c r="G323" s="2">
        <v>300.06</v>
      </c>
      <c r="H323" s="5">
        <v>300.06</v>
      </c>
    </row>
    <row r="324" spans="1:8" x14ac:dyDescent="0.25">
      <c r="A324" s="4">
        <v>1323</v>
      </c>
      <c r="B324" s="3">
        <v>45388</v>
      </c>
      <c r="C324" s="2" t="s">
        <v>11</v>
      </c>
      <c r="D324" s="2" t="s">
        <v>18</v>
      </c>
      <c r="E324" s="2" t="s">
        <v>12</v>
      </c>
      <c r="F324" s="2">
        <v>7</v>
      </c>
      <c r="G324" s="2">
        <v>318.83</v>
      </c>
      <c r="H324" s="5">
        <v>2231.81</v>
      </c>
    </row>
    <row r="325" spans="1:8" x14ac:dyDescent="0.25">
      <c r="A325" s="4">
        <v>1324</v>
      </c>
      <c r="B325" s="3">
        <v>45486</v>
      </c>
      <c r="C325" s="2" t="s">
        <v>8</v>
      </c>
      <c r="D325" s="2" t="s">
        <v>9</v>
      </c>
      <c r="E325" s="2" t="s">
        <v>21</v>
      </c>
      <c r="F325" s="2">
        <v>7</v>
      </c>
      <c r="G325" s="2">
        <v>1119.45</v>
      </c>
      <c r="H325" s="5">
        <v>7836.1500000000005</v>
      </c>
    </row>
    <row r="326" spans="1:8" x14ac:dyDescent="0.25">
      <c r="A326" s="4">
        <v>1325</v>
      </c>
      <c r="B326" s="3">
        <v>45636</v>
      </c>
      <c r="C326" s="2" t="s">
        <v>13</v>
      </c>
      <c r="D326" s="2" t="s">
        <v>18</v>
      </c>
      <c r="E326" s="2" t="s">
        <v>16</v>
      </c>
      <c r="F326" s="2">
        <v>19</v>
      </c>
      <c r="G326" s="2">
        <v>430.39</v>
      </c>
      <c r="H326" s="5">
        <v>8177.41</v>
      </c>
    </row>
    <row r="327" spans="1:8" x14ac:dyDescent="0.25">
      <c r="A327" s="4">
        <v>1326</v>
      </c>
      <c r="B327" s="3">
        <v>45453</v>
      </c>
      <c r="C327" s="2" t="s">
        <v>19</v>
      </c>
      <c r="D327" s="2" t="s">
        <v>15</v>
      </c>
      <c r="E327" s="2" t="s">
        <v>10</v>
      </c>
      <c r="F327" s="2">
        <v>8</v>
      </c>
      <c r="G327" s="2">
        <v>575.1</v>
      </c>
      <c r="H327" s="5">
        <v>4600.8</v>
      </c>
    </row>
    <row r="328" spans="1:8" x14ac:dyDescent="0.25">
      <c r="A328" s="4">
        <v>1327</v>
      </c>
      <c r="B328" s="3">
        <v>45324</v>
      </c>
      <c r="C328" s="2" t="s">
        <v>17</v>
      </c>
      <c r="D328" s="2" t="s">
        <v>15</v>
      </c>
      <c r="E328" s="2" t="s">
        <v>21</v>
      </c>
      <c r="F328" s="2">
        <v>11</v>
      </c>
      <c r="G328" s="2">
        <v>1235.8699999999999</v>
      </c>
      <c r="H328" s="5">
        <v>13594.57</v>
      </c>
    </row>
    <row r="329" spans="1:8" x14ac:dyDescent="0.25">
      <c r="A329" s="4">
        <v>1328</v>
      </c>
      <c r="B329" s="3">
        <v>45469</v>
      </c>
      <c r="C329" s="2" t="s">
        <v>13</v>
      </c>
      <c r="D329" s="2" t="s">
        <v>9</v>
      </c>
      <c r="E329" s="2" t="s">
        <v>16</v>
      </c>
      <c r="F329" s="2">
        <v>17</v>
      </c>
      <c r="G329" s="2">
        <v>1172.53</v>
      </c>
      <c r="H329" s="5">
        <v>19933.009999999998</v>
      </c>
    </row>
    <row r="330" spans="1:8" x14ac:dyDescent="0.25">
      <c r="A330" s="4">
        <v>1329</v>
      </c>
      <c r="B330" s="3">
        <v>45587</v>
      </c>
      <c r="C330" s="2" t="s">
        <v>8</v>
      </c>
      <c r="D330" s="2" t="s">
        <v>9</v>
      </c>
      <c r="E330" s="2" t="s">
        <v>16</v>
      </c>
      <c r="F330" s="2">
        <v>13</v>
      </c>
      <c r="G330" s="2">
        <v>684.85</v>
      </c>
      <c r="H330" s="5">
        <v>8903.0500000000011</v>
      </c>
    </row>
    <row r="331" spans="1:8" x14ac:dyDescent="0.25">
      <c r="A331" s="4">
        <v>1330</v>
      </c>
      <c r="B331" s="3">
        <v>45564</v>
      </c>
      <c r="C331" s="2" t="s">
        <v>13</v>
      </c>
      <c r="D331" s="2" t="s">
        <v>9</v>
      </c>
      <c r="E331" s="2" t="s">
        <v>12</v>
      </c>
      <c r="F331" s="2">
        <v>2</v>
      </c>
      <c r="G331" s="2">
        <v>1122.53</v>
      </c>
      <c r="H331" s="5">
        <v>2245.06</v>
      </c>
    </row>
    <row r="332" spans="1:8" x14ac:dyDescent="0.25">
      <c r="A332" s="4">
        <v>1331</v>
      </c>
      <c r="B332" s="3">
        <v>45361</v>
      </c>
      <c r="C332" s="2" t="s">
        <v>13</v>
      </c>
      <c r="D332" s="2" t="s">
        <v>20</v>
      </c>
      <c r="E332" s="2" t="s">
        <v>12</v>
      </c>
      <c r="F332" s="2">
        <v>17</v>
      </c>
      <c r="G332" s="2">
        <v>306.19</v>
      </c>
      <c r="H332" s="5">
        <v>5205.2299999999996</v>
      </c>
    </row>
    <row r="333" spans="1:8" x14ac:dyDescent="0.25">
      <c r="A333" s="4">
        <v>1332</v>
      </c>
      <c r="B333" s="3">
        <v>45509</v>
      </c>
      <c r="C333" s="2" t="s">
        <v>11</v>
      </c>
      <c r="D333" s="2" t="s">
        <v>9</v>
      </c>
      <c r="E333" s="2" t="s">
        <v>12</v>
      </c>
      <c r="F333" s="2">
        <v>13</v>
      </c>
      <c r="G333" s="2">
        <v>1486.45</v>
      </c>
      <c r="H333" s="5">
        <v>19323.849999999999</v>
      </c>
    </row>
    <row r="334" spans="1:8" x14ac:dyDescent="0.25">
      <c r="A334" s="4">
        <v>1333</v>
      </c>
      <c r="B334" s="3">
        <v>45461</v>
      </c>
      <c r="C334" s="2" t="s">
        <v>8</v>
      </c>
      <c r="D334" s="2" t="s">
        <v>15</v>
      </c>
      <c r="E334" s="2" t="s">
        <v>10</v>
      </c>
      <c r="F334" s="2">
        <v>11</v>
      </c>
      <c r="G334" s="2">
        <v>1077.5899999999999</v>
      </c>
      <c r="H334" s="5">
        <v>11853.49</v>
      </c>
    </row>
    <row r="335" spans="1:8" x14ac:dyDescent="0.25">
      <c r="A335" s="4">
        <v>1334</v>
      </c>
      <c r="B335" s="3">
        <v>45321</v>
      </c>
      <c r="C335" s="2" t="s">
        <v>11</v>
      </c>
      <c r="D335" s="2" t="s">
        <v>18</v>
      </c>
      <c r="E335" s="2" t="s">
        <v>21</v>
      </c>
      <c r="F335" s="2">
        <v>12</v>
      </c>
      <c r="G335" s="2">
        <v>502.2</v>
      </c>
      <c r="H335" s="5">
        <v>6026.4</v>
      </c>
    </row>
    <row r="336" spans="1:8" x14ac:dyDescent="0.25">
      <c r="A336" s="4">
        <v>1335</v>
      </c>
      <c r="B336" s="3">
        <v>45584</v>
      </c>
      <c r="C336" s="2" t="s">
        <v>13</v>
      </c>
      <c r="D336" s="2" t="s">
        <v>18</v>
      </c>
      <c r="E336" s="2" t="s">
        <v>10</v>
      </c>
      <c r="F336" s="2">
        <v>6</v>
      </c>
      <c r="G336" s="2">
        <v>443.64</v>
      </c>
      <c r="H336" s="5">
        <v>2661.84</v>
      </c>
    </row>
    <row r="337" spans="1:8" x14ac:dyDescent="0.25">
      <c r="A337" s="4">
        <v>1336</v>
      </c>
      <c r="B337" s="3">
        <v>45497</v>
      </c>
      <c r="C337" s="2" t="s">
        <v>17</v>
      </c>
      <c r="D337" s="2" t="s">
        <v>18</v>
      </c>
      <c r="E337" s="2" t="s">
        <v>21</v>
      </c>
      <c r="F337" s="2">
        <v>14</v>
      </c>
      <c r="G337" s="2">
        <v>1285.71</v>
      </c>
      <c r="H337" s="5">
        <v>17999.939999999999</v>
      </c>
    </row>
    <row r="338" spans="1:8" x14ac:dyDescent="0.25">
      <c r="A338" s="4">
        <v>1337</v>
      </c>
      <c r="B338" s="3">
        <v>45427</v>
      </c>
      <c r="C338" s="2" t="s">
        <v>8</v>
      </c>
      <c r="D338" s="2" t="s">
        <v>20</v>
      </c>
      <c r="E338" s="2" t="s">
        <v>16</v>
      </c>
      <c r="F338" s="2">
        <v>14</v>
      </c>
      <c r="G338" s="2">
        <v>215.32</v>
      </c>
      <c r="H338" s="5">
        <v>3014.48</v>
      </c>
    </row>
    <row r="339" spans="1:8" x14ac:dyDescent="0.25">
      <c r="A339" s="4">
        <v>1338</v>
      </c>
      <c r="B339" s="3">
        <v>45523</v>
      </c>
      <c r="C339" s="2" t="s">
        <v>8</v>
      </c>
      <c r="D339" s="2" t="s">
        <v>15</v>
      </c>
      <c r="E339" s="2" t="s">
        <v>14</v>
      </c>
      <c r="F339" s="2">
        <v>9</v>
      </c>
      <c r="G339" s="2">
        <v>370.61</v>
      </c>
      <c r="H339" s="5">
        <v>3335.49</v>
      </c>
    </row>
    <row r="340" spans="1:8" x14ac:dyDescent="0.25">
      <c r="A340" s="4">
        <v>1339</v>
      </c>
      <c r="B340" s="3">
        <v>45345</v>
      </c>
      <c r="C340" s="2" t="s">
        <v>11</v>
      </c>
      <c r="D340" s="2" t="s">
        <v>18</v>
      </c>
      <c r="E340" s="2" t="s">
        <v>12</v>
      </c>
      <c r="F340" s="2">
        <v>19</v>
      </c>
      <c r="G340" s="2">
        <v>776.05</v>
      </c>
      <c r="H340" s="5">
        <v>14744.95</v>
      </c>
    </row>
    <row r="341" spans="1:8" x14ac:dyDescent="0.25">
      <c r="A341" s="4">
        <v>1340</v>
      </c>
      <c r="B341" s="3">
        <v>45389</v>
      </c>
      <c r="C341" s="2" t="s">
        <v>11</v>
      </c>
      <c r="D341" s="2" t="s">
        <v>20</v>
      </c>
      <c r="E341" s="2" t="s">
        <v>16</v>
      </c>
      <c r="F341" s="2">
        <v>11</v>
      </c>
      <c r="G341" s="2">
        <v>872.83</v>
      </c>
      <c r="H341" s="5">
        <v>9601.130000000001</v>
      </c>
    </row>
    <row r="342" spans="1:8" x14ac:dyDescent="0.25">
      <c r="A342" s="4">
        <v>1341</v>
      </c>
      <c r="B342" s="3">
        <v>45527</v>
      </c>
      <c r="C342" s="2" t="s">
        <v>17</v>
      </c>
      <c r="D342" s="2" t="s">
        <v>15</v>
      </c>
      <c r="E342" s="2" t="s">
        <v>14</v>
      </c>
      <c r="F342" s="2">
        <v>12</v>
      </c>
      <c r="G342" s="2">
        <v>545.38</v>
      </c>
      <c r="H342" s="5">
        <v>6544.5599999999986</v>
      </c>
    </row>
    <row r="343" spans="1:8" x14ac:dyDescent="0.25">
      <c r="A343" s="4">
        <v>1342</v>
      </c>
      <c r="B343" s="3">
        <v>45580</v>
      </c>
      <c r="C343" s="2" t="s">
        <v>19</v>
      </c>
      <c r="D343" s="2" t="s">
        <v>20</v>
      </c>
      <c r="E343" s="2" t="s">
        <v>12</v>
      </c>
      <c r="F343" s="2">
        <v>18</v>
      </c>
      <c r="G343" s="2">
        <v>745.55</v>
      </c>
      <c r="H343" s="5">
        <v>13419.9</v>
      </c>
    </row>
    <row r="344" spans="1:8" x14ac:dyDescent="0.25">
      <c r="A344" s="4">
        <v>1343</v>
      </c>
      <c r="B344" s="3">
        <v>45390</v>
      </c>
      <c r="C344" s="2" t="s">
        <v>11</v>
      </c>
      <c r="D344" s="2" t="s">
        <v>15</v>
      </c>
      <c r="E344" s="2" t="s">
        <v>21</v>
      </c>
      <c r="F344" s="2">
        <v>15</v>
      </c>
      <c r="G344" s="2">
        <v>268.48</v>
      </c>
      <c r="H344" s="5">
        <v>4027.2</v>
      </c>
    </row>
    <row r="345" spans="1:8" x14ac:dyDescent="0.25">
      <c r="A345" s="4">
        <v>1344</v>
      </c>
      <c r="B345" s="3">
        <v>45328</v>
      </c>
      <c r="C345" s="2" t="s">
        <v>8</v>
      </c>
      <c r="D345" s="2" t="s">
        <v>18</v>
      </c>
      <c r="E345" s="2" t="s">
        <v>12</v>
      </c>
      <c r="F345" s="2">
        <v>19</v>
      </c>
      <c r="G345" s="2">
        <v>284.88</v>
      </c>
      <c r="H345" s="5">
        <v>5412.72</v>
      </c>
    </row>
    <row r="346" spans="1:8" x14ac:dyDescent="0.25">
      <c r="A346" s="4">
        <v>1345</v>
      </c>
      <c r="B346" s="3">
        <v>45325</v>
      </c>
      <c r="C346" s="2" t="s">
        <v>13</v>
      </c>
      <c r="D346" s="2" t="s">
        <v>18</v>
      </c>
      <c r="E346" s="2" t="s">
        <v>16</v>
      </c>
      <c r="F346" s="2">
        <v>14</v>
      </c>
      <c r="G346" s="2">
        <v>1027.1500000000001</v>
      </c>
      <c r="H346" s="5">
        <v>14380.1</v>
      </c>
    </row>
    <row r="347" spans="1:8" x14ac:dyDescent="0.25">
      <c r="A347" s="4">
        <v>1346</v>
      </c>
      <c r="B347" s="3">
        <v>45539</v>
      </c>
      <c r="C347" s="2" t="s">
        <v>17</v>
      </c>
      <c r="D347" s="2" t="s">
        <v>18</v>
      </c>
      <c r="E347" s="2" t="s">
        <v>16</v>
      </c>
      <c r="F347" s="2">
        <v>9</v>
      </c>
      <c r="G347" s="2">
        <v>73.22</v>
      </c>
      <c r="H347" s="5">
        <v>658.98</v>
      </c>
    </row>
    <row r="348" spans="1:8" x14ac:dyDescent="0.25">
      <c r="A348" s="4">
        <v>1347</v>
      </c>
      <c r="B348" s="3">
        <v>45495</v>
      </c>
      <c r="C348" s="2" t="s">
        <v>19</v>
      </c>
      <c r="D348" s="2" t="s">
        <v>9</v>
      </c>
      <c r="E348" s="2" t="s">
        <v>14</v>
      </c>
      <c r="F348" s="2">
        <v>8</v>
      </c>
      <c r="G348" s="2">
        <v>1229.76</v>
      </c>
      <c r="H348" s="5">
        <v>9838.08</v>
      </c>
    </row>
    <row r="349" spans="1:8" x14ac:dyDescent="0.25">
      <c r="A349" s="4">
        <v>1348</v>
      </c>
      <c r="B349" s="3">
        <v>45428</v>
      </c>
      <c r="C349" s="2" t="s">
        <v>17</v>
      </c>
      <c r="D349" s="2" t="s">
        <v>18</v>
      </c>
      <c r="E349" s="2" t="s">
        <v>16</v>
      </c>
      <c r="F349" s="2">
        <v>17</v>
      </c>
      <c r="G349" s="2">
        <v>391.38</v>
      </c>
      <c r="H349" s="5">
        <v>6653.46</v>
      </c>
    </row>
    <row r="350" spans="1:8" x14ac:dyDescent="0.25">
      <c r="A350" s="4">
        <v>1349</v>
      </c>
      <c r="B350" s="3">
        <v>45364</v>
      </c>
      <c r="C350" s="2" t="s">
        <v>19</v>
      </c>
      <c r="D350" s="2" t="s">
        <v>15</v>
      </c>
      <c r="E350" s="2" t="s">
        <v>21</v>
      </c>
      <c r="F350" s="2">
        <v>11</v>
      </c>
      <c r="G350" s="2">
        <v>570.63</v>
      </c>
      <c r="H350" s="5">
        <v>6276.93</v>
      </c>
    </row>
    <row r="351" spans="1:8" x14ac:dyDescent="0.25">
      <c r="A351" s="4">
        <v>1350</v>
      </c>
      <c r="B351" s="3">
        <v>45400</v>
      </c>
      <c r="C351" s="2" t="s">
        <v>13</v>
      </c>
      <c r="D351" s="2" t="s">
        <v>20</v>
      </c>
      <c r="E351" s="2" t="s">
        <v>14</v>
      </c>
      <c r="F351" s="2">
        <v>9</v>
      </c>
      <c r="G351" s="2">
        <v>1071.5</v>
      </c>
      <c r="H351" s="5">
        <v>9643.5</v>
      </c>
    </row>
    <row r="352" spans="1:8" x14ac:dyDescent="0.25">
      <c r="A352" s="4">
        <v>1351</v>
      </c>
      <c r="B352" s="3">
        <v>45495</v>
      </c>
      <c r="C352" s="2" t="s">
        <v>8</v>
      </c>
      <c r="D352" s="2" t="s">
        <v>15</v>
      </c>
      <c r="E352" s="2" t="s">
        <v>16</v>
      </c>
      <c r="F352" s="2">
        <v>15</v>
      </c>
      <c r="G352" s="2">
        <v>1323.25</v>
      </c>
      <c r="H352" s="5">
        <v>19848.75</v>
      </c>
    </row>
    <row r="353" spans="1:8" x14ac:dyDescent="0.25">
      <c r="A353" s="4">
        <v>1352</v>
      </c>
      <c r="B353" s="3">
        <v>45453</v>
      </c>
      <c r="C353" s="2" t="s">
        <v>17</v>
      </c>
      <c r="D353" s="2" t="s">
        <v>18</v>
      </c>
      <c r="E353" s="2" t="s">
        <v>16</v>
      </c>
      <c r="F353" s="2">
        <v>5</v>
      </c>
      <c r="G353" s="2">
        <v>1043.8900000000001</v>
      </c>
      <c r="H353" s="5">
        <v>5219.4500000000007</v>
      </c>
    </row>
    <row r="354" spans="1:8" x14ac:dyDescent="0.25">
      <c r="A354" s="4">
        <v>1353</v>
      </c>
      <c r="B354" s="3">
        <v>45491</v>
      </c>
      <c r="C354" s="2" t="s">
        <v>11</v>
      </c>
      <c r="D354" s="2" t="s">
        <v>20</v>
      </c>
      <c r="E354" s="2" t="s">
        <v>10</v>
      </c>
      <c r="F354" s="2">
        <v>5</v>
      </c>
      <c r="G354" s="2">
        <v>1040.29</v>
      </c>
      <c r="H354" s="5">
        <v>5201.45</v>
      </c>
    </row>
    <row r="355" spans="1:8" x14ac:dyDescent="0.25">
      <c r="A355" s="4">
        <v>1354</v>
      </c>
      <c r="B355" s="3">
        <v>45638</v>
      </c>
      <c r="C355" s="2" t="s">
        <v>13</v>
      </c>
      <c r="D355" s="2" t="s">
        <v>20</v>
      </c>
      <c r="E355" s="2" t="s">
        <v>14</v>
      </c>
      <c r="F355" s="2">
        <v>18</v>
      </c>
      <c r="G355" s="2">
        <v>1105.4000000000001</v>
      </c>
      <c r="H355" s="5">
        <v>19897.2</v>
      </c>
    </row>
    <row r="356" spans="1:8" x14ac:dyDescent="0.25">
      <c r="A356" s="4">
        <v>1355</v>
      </c>
      <c r="B356" s="3">
        <v>45296</v>
      </c>
      <c r="C356" s="2" t="s">
        <v>17</v>
      </c>
      <c r="D356" s="2" t="s">
        <v>20</v>
      </c>
      <c r="E356" s="2" t="s">
        <v>16</v>
      </c>
      <c r="F356" s="2">
        <v>3</v>
      </c>
      <c r="G356" s="2">
        <v>178.3</v>
      </c>
      <c r="H356" s="5">
        <v>534.90000000000009</v>
      </c>
    </row>
    <row r="357" spans="1:8" x14ac:dyDescent="0.25">
      <c r="A357" s="4">
        <v>1356</v>
      </c>
      <c r="B357" s="3">
        <v>45603</v>
      </c>
      <c r="C357" s="2" t="s">
        <v>11</v>
      </c>
      <c r="D357" s="2" t="s">
        <v>18</v>
      </c>
      <c r="E357" s="2" t="s">
        <v>21</v>
      </c>
      <c r="F357" s="2">
        <v>2</v>
      </c>
      <c r="G357" s="2">
        <v>1251.69</v>
      </c>
      <c r="H357" s="5">
        <v>2503.38</v>
      </c>
    </row>
    <row r="358" spans="1:8" x14ac:dyDescent="0.25">
      <c r="A358" s="4">
        <v>1357</v>
      </c>
      <c r="B358" s="3">
        <v>45530</v>
      </c>
      <c r="C358" s="2" t="s">
        <v>8</v>
      </c>
      <c r="D358" s="2" t="s">
        <v>9</v>
      </c>
      <c r="E358" s="2" t="s">
        <v>12</v>
      </c>
      <c r="F358" s="2">
        <v>4</v>
      </c>
      <c r="G358" s="2">
        <v>1378.19</v>
      </c>
      <c r="H358" s="5">
        <v>5512.76</v>
      </c>
    </row>
    <row r="359" spans="1:8" x14ac:dyDescent="0.25">
      <c r="A359" s="4">
        <v>1358</v>
      </c>
      <c r="B359" s="3">
        <v>45390</v>
      </c>
      <c r="C359" s="2" t="s">
        <v>8</v>
      </c>
      <c r="D359" s="2" t="s">
        <v>9</v>
      </c>
      <c r="E359" s="2" t="s">
        <v>10</v>
      </c>
      <c r="F359" s="2">
        <v>14</v>
      </c>
      <c r="G359" s="2">
        <v>53.64</v>
      </c>
      <c r="H359" s="5">
        <v>750.96</v>
      </c>
    </row>
    <row r="360" spans="1:8" x14ac:dyDescent="0.25">
      <c r="A360" s="4">
        <v>1359</v>
      </c>
      <c r="B360" s="3">
        <v>45292</v>
      </c>
      <c r="C360" s="2" t="s">
        <v>13</v>
      </c>
      <c r="D360" s="2" t="s">
        <v>18</v>
      </c>
      <c r="E360" s="2" t="s">
        <v>10</v>
      </c>
      <c r="F360" s="2">
        <v>3</v>
      </c>
      <c r="G360" s="2">
        <v>397.38</v>
      </c>
      <c r="H360" s="5">
        <v>1192.1400000000001</v>
      </c>
    </row>
    <row r="361" spans="1:8" x14ac:dyDescent="0.25">
      <c r="A361" s="4">
        <v>1360</v>
      </c>
      <c r="B361" s="3">
        <v>45572</v>
      </c>
      <c r="C361" s="2" t="s">
        <v>17</v>
      </c>
      <c r="D361" s="2" t="s">
        <v>9</v>
      </c>
      <c r="E361" s="2" t="s">
        <v>16</v>
      </c>
      <c r="F361" s="2">
        <v>4</v>
      </c>
      <c r="G361" s="2">
        <v>663.6</v>
      </c>
      <c r="H361" s="5">
        <v>2654.4</v>
      </c>
    </row>
    <row r="362" spans="1:8" x14ac:dyDescent="0.25">
      <c r="A362" s="4">
        <v>1361</v>
      </c>
      <c r="B362" s="3">
        <v>45475</v>
      </c>
      <c r="C362" s="2" t="s">
        <v>19</v>
      </c>
      <c r="D362" s="2" t="s">
        <v>15</v>
      </c>
      <c r="E362" s="2" t="s">
        <v>16</v>
      </c>
      <c r="F362" s="2">
        <v>8</v>
      </c>
      <c r="G362" s="2">
        <v>932.99</v>
      </c>
      <c r="H362" s="5">
        <v>7463.92</v>
      </c>
    </row>
    <row r="363" spans="1:8" x14ac:dyDescent="0.25">
      <c r="A363" s="4">
        <v>1362</v>
      </c>
      <c r="B363" s="3">
        <v>45533</v>
      </c>
      <c r="C363" s="2" t="s">
        <v>11</v>
      </c>
      <c r="D363" s="2" t="s">
        <v>9</v>
      </c>
      <c r="E363" s="2" t="s">
        <v>10</v>
      </c>
      <c r="F363" s="2">
        <v>15</v>
      </c>
      <c r="G363" s="2">
        <v>314.64999999999998</v>
      </c>
      <c r="H363" s="5">
        <v>4719.75</v>
      </c>
    </row>
    <row r="364" spans="1:8" x14ac:dyDescent="0.25">
      <c r="A364" s="4">
        <v>1363</v>
      </c>
      <c r="B364" s="3">
        <v>45639</v>
      </c>
      <c r="C364" s="2" t="s">
        <v>19</v>
      </c>
      <c r="D364" s="2" t="s">
        <v>18</v>
      </c>
      <c r="E364" s="2" t="s">
        <v>12</v>
      </c>
      <c r="F364" s="2">
        <v>18</v>
      </c>
      <c r="G364" s="2">
        <v>337.03</v>
      </c>
      <c r="H364" s="5">
        <v>6066.5399999999991</v>
      </c>
    </row>
    <row r="365" spans="1:8" x14ac:dyDescent="0.25">
      <c r="A365" s="4">
        <v>1364</v>
      </c>
      <c r="B365" s="3">
        <v>45339</v>
      </c>
      <c r="C365" s="2" t="s">
        <v>11</v>
      </c>
      <c r="D365" s="2" t="s">
        <v>20</v>
      </c>
      <c r="E365" s="2" t="s">
        <v>16</v>
      </c>
      <c r="F365" s="2">
        <v>18</v>
      </c>
      <c r="G365" s="2">
        <v>166.95</v>
      </c>
      <c r="H365" s="5">
        <v>3005.1</v>
      </c>
    </row>
    <row r="366" spans="1:8" x14ac:dyDescent="0.25">
      <c r="A366" s="4">
        <v>1365</v>
      </c>
      <c r="B366" s="3">
        <v>45599</v>
      </c>
      <c r="C366" s="2" t="s">
        <v>8</v>
      </c>
      <c r="D366" s="2" t="s">
        <v>15</v>
      </c>
      <c r="E366" s="2" t="s">
        <v>10</v>
      </c>
      <c r="F366" s="2">
        <v>8</v>
      </c>
      <c r="G366" s="2">
        <v>1158.54</v>
      </c>
      <c r="H366" s="5">
        <v>9268.32</v>
      </c>
    </row>
    <row r="367" spans="1:8" x14ac:dyDescent="0.25">
      <c r="A367" s="4">
        <v>1366</v>
      </c>
      <c r="B367" s="3">
        <v>45341</v>
      </c>
      <c r="C367" s="2" t="s">
        <v>11</v>
      </c>
      <c r="D367" s="2" t="s">
        <v>9</v>
      </c>
      <c r="E367" s="2" t="s">
        <v>10</v>
      </c>
      <c r="F367" s="2">
        <v>3</v>
      </c>
      <c r="G367" s="2">
        <v>522.77</v>
      </c>
      <c r="H367" s="5">
        <v>1568.31</v>
      </c>
    </row>
    <row r="368" spans="1:8" x14ac:dyDescent="0.25">
      <c r="A368" s="4">
        <v>1367</v>
      </c>
      <c r="B368" s="3">
        <v>45360</v>
      </c>
      <c r="C368" s="2" t="s">
        <v>19</v>
      </c>
      <c r="D368" s="2" t="s">
        <v>20</v>
      </c>
      <c r="E368" s="2" t="s">
        <v>14</v>
      </c>
      <c r="F368" s="2">
        <v>18</v>
      </c>
      <c r="G368" s="2">
        <v>940.9</v>
      </c>
      <c r="H368" s="5">
        <v>16936.2</v>
      </c>
    </row>
    <row r="369" spans="1:8" x14ac:dyDescent="0.25">
      <c r="A369" s="4">
        <v>1368</v>
      </c>
      <c r="B369" s="3">
        <v>45591</v>
      </c>
      <c r="C369" s="2" t="s">
        <v>8</v>
      </c>
      <c r="D369" s="2" t="s">
        <v>15</v>
      </c>
      <c r="E369" s="2" t="s">
        <v>10</v>
      </c>
      <c r="F369" s="2">
        <v>17</v>
      </c>
      <c r="G369" s="2">
        <v>736.59</v>
      </c>
      <c r="H369" s="5">
        <v>12522.03</v>
      </c>
    </row>
    <row r="370" spans="1:8" x14ac:dyDescent="0.25">
      <c r="A370" s="4">
        <v>1369</v>
      </c>
      <c r="B370" s="3">
        <v>45324</v>
      </c>
      <c r="C370" s="2" t="s">
        <v>13</v>
      </c>
      <c r="D370" s="2" t="s">
        <v>18</v>
      </c>
      <c r="E370" s="2" t="s">
        <v>10</v>
      </c>
      <c r="F370" s="2">
        <v>19</v>
      </c>
      <c r="G370" s="2">
        <v>1248.26</v>
      </c>
      <c r="H370" s="5">
        <v>23716.94</v>
      </c>
    </row>
    <row r="371" spans="1:8" x14ac:dyDescent="0.25">
      <c r="A371" s="4">
        <v>1370</v>
      </c>
      <c r="B371" s="3">
        <v>45550</v>
      </c>
      <c r="C371" s="2" t="s">
        <v>17</v>
      </c>
      <c r="D371" s="2" t="s">
        <v>20</v>
      </c>
      <c r="E371" s="2" t="s">
        <v>12</v>
      </c>
      <c r="F371" s="2">
        <v>18</v>
      </c>
      <c r="G371" s="2">
        <v>455.33</v>
      </c>
      <c r="H371" s="5">
        <v>8195.94</v>
      </c>
    </row>
    <row r="372" spans="1:8" x14ac:dyDescent="0.25">
      <c r="A372" s="4">
        <v>1371</v>
      </c>
      <c r="B372" s="3">
        <v>45631</v>
      </c>
      <c r="C372" s="2" t="s">
        <v>8</v>
      </c>
      <c r="D372" s="2" t="s">
        <v>9</v>
      </c>
      <c r="E372" s="2" t="s">
        <v>14</v>
      </c>
      <c r="F372" s="2">
        <v>15</v>
      </c>
      <c r="G372" s="2">
        <v>309.83</v>
      </c>
      <c r="H372" s="5">
        <v>4647.45</v>
      </c>
    </row>
    <row r="373" spans="1:8" x14ac:dyDescent="0.25">
      <c r="A373" s="4">
        <v>1372</v>
      </c>
      <c r="B373" s="3">
        <v>45618</v>
      </c>
      <c r="C373" s="2" t="s">
        <v>8</v>
      </c>
      <c r="D373" s="2" t="s">
        <v>15</v>
      </c>
      <c r="E373" s="2" t="s">
        <v>10</v>
      </c>
      <c r="F373" s="2">
        <v>19</v>
      </c>
      <c r="G373" s="2">
        <v>1001.01</v>
      </c>
      <c r="H373" s="5">
        <v>19019.189999999999</v>
      </c>
    </row>
    <row r="374" spans="1:8" x14ac:dyDescent="0.25">
      <c r="A374" s="4">
        <v>1373</v>
      </c>
      <c r="B374" s="3">
        <v>45653</v>
      </c>
      <c r="C374" s="2" t="s">
        <v>17</v>
      </c>
      <c r="D374" s="2" t="s">
        <v>18</v>
      </c>
      <c r="E374" s="2" t="s">
        <v>14</v>
      </c>
      <c r="F374" s="2">
        <v>19</v>
      </c>
      <c r="G374" s="2">
        <v>187.38</v>
      </c>
      <c r="H374" s="5">
        <v>3560.22</v>
      </c>
    </row>
    <row r="375" spans="1:8" x14ac:dyDescent="0.25">
      <c r="A375" s="4">
        <v>1374</v>
      </c>
      <c r="B375" s="3">
        <v>45454</v>
      </c>
      <c r="C375" s="2" t="s">
        <v>13</v>
      </c>
      <c r="D375" s="2" t="s">
        <v>9</v>
      </c>
      <c r="E375" s="2" t="s">
        <v>21</v>
      </c>
      <c r="F375" s="2">
        <v>17</v>
      </c>
      <c r="G375" s="2">
        <v>543.16</v>
      </c>
      <c r="H375" s="5">
        <v>9233.7199999999993</v>
      </c>
    </row>
    <row r="376" spans="1:8" x14ac:dyDescent="0.25">
      <c r="A376" s="4">
        <v>1375</v>
      </c>
      <c r="B376" s="3">
        <v>45336</v>
      </c>
      <c r="C376" s="2" t="s">
        <v>19</v>
      </c>
      <c r="D376" s="2" t="s">
        <v>15</v>
      </c>
      <c r="E376" s="2" t="s">
        <v>12</v>
      </c>
      <c r="F376" s="2">
        <v>19</v>
      </c>
      <c r="G376" s="2">
        <v>468.83</v>
      </c>
      <c r="H376" s="5">
        <v>8907.77</v>
      </c>
    </row>
    <row r="377" spans="1:8" x14ac:dyDescent="0.25">
      <c r="A377" s="4">
        <v>1376</v>
      </c>
      <c r="B377" s="3">
        <v>45391</v>
      </c>
      <c r="C377" s="2" t="s">
        <v>11</v>
      </c>
      <c r="D377" s="2" t="s">
        <v>18</v>
      </c>
      <c r="E377" s="2" t="s">
        <v>14</v>
      </c>
      <c r="F377" s="2">
        <v>4</v>
      </c>
      <c r="G377" s="2">
        <v>1323.67</v>
      </c>
      <c r="H377" s="5">
        <v>5294.68</v>
      </c>
    </row>
    <row r="378" spans="1:8" x14ac:dyDescent="0.25">
      <c r="A378" s="4">
        <v>1377</v>
      </c>
      <c r="B378" s="3">
        <v>45454</v>
      </c>
      <c r="C378" s="2" t="s">
        <v>11</v>
      </c>
      <c r="D378" s="2" t="s">
        <v>20</v>
      </c>
      <c r="E378" s="2" t="s">
        <v>14</v>
      </c>
      <c r="F378" s="2">
        <v>16</v>
      </c>
      <c r="G378" s="2">
        <v>477.47</v>
      </c>
      <c r="H378" s="5">
        <v>7639.52</v>
      </c>
    </row>
    <row r="379" spans="1:8" x14ac:dyDescent="0.25">
      <c r="A379" s="4">
        <v>1378</v>
      </c>
      <c r="B379" s="3">
        <v>45632</v>
      </c>
      <c r="C379" s="2" t="s">
        <v>8</v>
      </c>
      <c r="D379" s="2" t="s">
        <v>20</v>
      </c>
      <c r="E379" s="2" t="s">
        <v>21</v>
      </c>
      <c r="F379" s="2">
        <v>12</v>
      </c>
      <c r="G379" s="2">
        <v>934.85</v>
      </c>
      <c r="H379" s="5">
        <v>11218.2</v>
      </c>
    </row>
    <row r="380" spans="1:8" x14ac:dyDescent="0.25">
      <c r="A380" s="4">
        <v>1379</v>
      </c>
      <c r="B380" s="3">
        <v>45405</v>
      </c>
      <c r="C380" s="2" t="s">
        <v>13</v>
      </c>
      <c r="D380" s="2" t="s">
        <v>20</v>
      </c>
      <c r="E380" s="2" t="s">
        <v>14</v>
      </c>
      <c r="F380" s="2">
        <v>4</v>
      </c>
      <c r="G380" s="2">
        <v>1313.61</v>
      </c>
      <c r="H380" s="5">
        <v>5254.44</v>
      </c>
    </row>
    <row r="381" spans="1:8" x14ac:dyDescent="0.25">
      <c r="A381" s="4">
        <v>1380</v>
      </c>
      <c r="B381" s="3">
        <v>45568</v>
      </c>
      <c r="C381" s="2" t="s">
        <v>11</v>
      </c>
      <c r="D381" s="2" t="s">
        <v>20</v>
      </c>
      <c r="E381" s="2" t="s">
        <v>21</v>
      </c>
      <c r="F381" s="2">
        <v>6</v>
      </c>
      <c r="G381" s="2">
        <v>382.61</v>
      </c>
      <c r="H381" s="5">
        <v>2295.66</v>
      </c>
    </row>
    <row r="382" spans="1:8" x14ac:dyDescent="0.25">
      <c r="A382" s="4">
        <v>1381</v>
      </c>
      <c r="B382" s="3">
        <v>45380</v>
      </c>
      <c r="C382" s="2" t="s">
        <v>8</v>
      </c>
      <c r="D382" s="2" t="s">
        <v>20</v>
      </c>
      <c r="E382" s="2" t="s">
        <v>21</v>
      </c>
      <c r="F382" s="2">
        <v>10</v>
      </c>
      <c r="G382" s="2">
        <v>1114.49</v>
      </c>
      <c r="H382" s="5">
        <v>11144.9</v>
      </c>
    </row>
    <row r="383" spans="1:8" x14ac:dyDescent="0.25">
      <c r="A383" s="4">
        <v>1382</v>
      </c>
      <c r="B383" s="3">
        <v>45486</v>
      </c>
      <c r="C383" s="2" t="s">
        <v>8</v>
      </c>
      <c r="D383" s="2" t="s">
        <v>20</v>
      </c>
      <c r="E383" s="2" t="s">
        <v>16</v>
      </c>
      <c r="F383" s="2">
        <v>17</v>
      </c>
      <c r="G383" s="2">
        <v>1126.55</v>
      </c>
      <c r="H383" s="5">
        <v>19151.349999999999</v>
      </c>
    </row>
    <row r="384" spans="1:8" x14ac:dyDescent="0.25">
      <c r="A384" s="4">
        <v>1383</v>
      </c>
      <c r="B384" s="3">
        <v>45320</v>
      </c>
      <c r="C384" s="2" t="s">
        <v>17</v>
      </c>
      <c r="D384" s="2" t="s">
        <v>15</v>
      </c>
      <c r="E384" s="2" t="s">
        <v>21</v>
      </c>
      <c r="F384" s="2">
        <v>1</v>
      </c>
      <c r="G384" s="2">
        <v>722.71</v>
      </c>
      <c r="H384" s="5">
        <v>722.71</v>
      </c>
    </row>
    <row r="385" spans="1:8" x14ac:dyDescent="0.25">
      <c r="A385" s="4">
        <v>1384</v>
      </c>
      <c r="B385" s="3">
        <v>45443</v>
      </c>
      <c r="C385" s="2" t="s">
        <v>19</v>
      </c>
      <c r="D385" s="2" t="s">
        <v>20</v>
      </c>
      <c r="E385" s="2" t="s">
        <v>21</v>
      </c>
      <c r="F385" s="2">
        <v>7</v>
      </c>
      <c r="G385" s="2">
        <v>321.95999999999998</v>
      </c>
      <c r="H385" s="5">
        <v>2253.7199999999998</v>
      </c>
    </row>
    <row r="386" spans="1:8" x14ac:dyDescent="0.25">
      <c r="A386" s="4">
        <v>1385</v>
      </c>
      <c r="B386" s="3">
        <v>45424</v>
      </c>
      <c r="C386" s="2" t="s">
        <v>19</v>
      </c>
      <c r="D386" s="2" t="s">
        <v>9</v>
      </c>
      <c r="E386" s="2" t="s">
        <v>21</v>
      </c>
      <c r="F386" s="2">
        <v>4</v>
      </c>
      <c r="G386" s="2">
        <v>1059.52</v>
      </c>
      <c r="H386" s="5">
        <v>4238.08</v>
      </c>
    </row>
    <row r="387" spans="1:8" x14ac:dyDescent="0.25">
      <c r="A387" s="4">
        <v>1386</v>
      </c>
      <c r="B387" s="3">
        <v>45459</v>
      </c>
      <c r="C387" s="2" t="s">
        <v>19</v>
      </c>
      <c r="D387" s="2" t="s">
        <v>20</v>
      </c>
      <c r="E387" s="2" t="s">
        <v>10</v>
      </c>
      <c r="F387" s="2">
        <v>4</v>
      </c>
      <c r="G387" s="2">
        <v>841.81</v>
      </c>
      <c r="H387" s="5">
        <v>3367.24</v>
      </c>
    </row>
    <row r="388" spans="1:8" x14ac:dyDescent="0.25">
      <c r="A388" s="4">
        <v>1387</v>
      </c>
      <c r="B388" s="3">
        <v>45400</v>
      </c>
      <c r="C388" s="2" t="s">
        <v>11</v>
      </c>
      <c r="D388" s="2" t="s">
        <v>15</v>
      </c>
      <c r="E388" s="2" t="s">
        <v>14</v>
      </c>
      <c r="F388" s="2">
        <v>10</v>
      </c>
      <c r="G388" s="2">
        <v>597.97</v>
      </c>
      <c r="H388" s="5">
        <v>5979.7000000000007</v>
      </c>
    </row>
    <row r="389" spans="1:8" x14ac:dyDescent="0.25">
      <c r="A389" s="4">
        <v>1388</v>
      </c>
      <c r="B389" s="3">
        <v>45483</v>
      </c>
      <c r="C389" s="2" t="s">
        <v>8</v>
      </c>
      <c r="D389" s="2" t="s">
        <v>18</v>
      </c>
      <c r="E389" s="2" t="s">
        <v>21</v>
      </c>
      <c r="F389" s="2">
        <v>4</v>
      </c>
      <c r="G389" s="2">
        <v>121.61</v>
      </c>
      <c r="H389" s="5">
        <v>486.44</v>
      </c>
    </row>
    <row r="390" spans="1:8" x14ac:dyDescent="0.25">
      <c r="A390" s="4">
        <v>1389</v>
      </c>
      <c r="B390" s="3">
        <v>45443</v>
      </c>
      <c r="C390" s="2" t="s">
        <v>8</v>
      </c>
      <c r="D390" s="2" t="s">
        <v>15</v>
      </c>
      <c r="E390" s="2" t="s">
        <v>21</v>
      </c>
      <c r="F390" s="2">
        <v>5</v>
      </c>
      <c r="G390" s="2">
        <v>356.86</v>
      </c>
      <c r="H390" s="5">
        <v>1784.3</v>
      </c>
    </row>
    <row r="391" spans="1:8" x14ac:dyDescent="0.25">
      <c r="A391" s="4">
        <v>1390</v>
      </c>
      <c r="B391" s="3">
        <v>45514</v>
      </c>
      <c r="C391" s="2" t="s">
        <v>17</v>
      </c>
      <c r="D391" s="2" t="s">
        <v>15</v>
      </c>
      <c r="E391" s="2" t="s">
        <v>10</v>
      </c>
      <c r="F391" s="2">
        <v>3</v>
      </c>
      <c r="G391" s="2">
        <v>826.65</v>
      </c>
      <c r="H391" s="5">
        <v>2479.9499999999998</v>
      </c>
    </row>
    <row r="392" spans="1:8" x14ac:dyDescent="0.25">
      <c r="A392" s="4">
        <v>1391</v>
      </c>
      <c r="B392" s="3">
        <v>45350</v>
      </c>
      <c r="C392" s="2" t="s">
        <v>17</v>
      </c>
      <c r="D392" s="2" t="s">
        <v>15</v>
      </c>
      <c r="E392" s="2" t="s">
        <v>10</v>
      </c>
      <c r="F392" s="2">
        <v>6</v>
      </c>
      <c r="G392" s="2">
        <v>1099.92</v>
      </c>
      <c r="H392" s="5">
        <v>6599.52</v>
      </c>
    </row>
    <row r="393" spans="1:8" x14ac:dyDescent="0.25">
      <c r="A393" s="4">
        <v>1392</v>
      </c>
      <c r="B393" s="3">
        <v>45454</v>
      </c>
      <c r="C393" s="2" t="s">
        <v>8</v>
      </c>
      <c r="D393" s="2" t="s">
        <v>9</v>
      </c>
      <c r="E393" s="2" t="s">
        <v>14</v>
      </c>
      <c r="F393" s="2">
        <v>5</v>
      </c>
      <c r="G393" s="2">
        <v>1146.7</v>
      </c>
      <c r="H393" s="5">
        <v>5733.5</v>
      </c>
    </row>
    <row r="394" spans="1:8" x14ac:dyDescent="0.25">
      <c r="A394" s="4">
        <v>1393</v>
      </c>
      <c r="B394" s="3">
        <v>45554</v>
      </c>
      <c r="C394" s="2" t="s">
        <v>17</v>
      </c>
      <c r="D394" s="2" t="s">
        <v>20</v>
      </c>
      <c r="E394" s="2" t="s">
        <v>16</v>
      </c>
      <c r="F394" s="2">
        <v>10</v>
      </c>
      <c r="G394" s="2">
        <v>379.88</v>
      </c>
      <c r="H394" s="5">
        <v>3798.8</v>
      </c>
    </row>
    <row r="395" spans="1:8" x14ac:dyDescent="0.25">
      <c r="A395" s="4">
        <v>1394</v>
      </c>
      <c r="B395" s="3">
        <v>45435</v>
      </c>
      <c r="C395" s="2" t="s">
        <v>19</v>
      </c>
      <c r="D395" s="2" t="s">
        <v>20</v>
      </c>
      <c r="E395" s="2" t="s">
        <v>21</v>
      </c>
      <c r="F395" s="2">
        <v>6</v>
      </c>
      <c r="G395" s="2">
        <v>701.5</v>
      </c>
      <c r="H395" s="5">
        <v>4209</v>
      </c>
    </row>
    <row r="396" spans="1:8" x14ac:dyDescent="0.25">
      <c r="A396" s="4">
        <v>1395</v>
      </c>
      <c r="B396" s="3">
        <v>45516</v>
      </c>
      <c r="C396" s="2" t="s">
        <v>17</v>
      </c>
      <c r="D396" s="2" t="s">
        <v>9</v>
      </c>
      <c r="E396" s="2" t="s">
        <v>16</v>
      </c>
      <c r="F396" s="2">
        <v>7</v>
      </c>
      <c r="G396" s="2">
        <v>1307.8699999999999</v>
      </c>
      <c r="H396" s="5">
        <v>9155.09</v>
      </c>
    </row>
    <row r="397" spans="1:8" x14ac:dyDescent="0.25">
      <c r="A397" s="4">
        <v>1396</v>
      </c>
      <c r="B397" s="3">
        <v>45455</v>
      </c>
      <c r="C397" s="2" t="s">
        <v>13</v>
      </c>
      <c r="D397" s="2" t="s">
        <v>18</v>
      </c>
      <c r="E397" s="2" t="s">
        <v>10</v>
      </c>
      <c r="F397" s="2">
        <v>16</v>
      </c>
      <c r="G397" s="2">
        <v>763.78</v>
      </c>
      <c r="H397" s="5">
        <v>12220.48</v>
      </c>
    </row>
    <row r="398" spans="1:8" x14ac:dyDescent="0.25">
      <c r="A398" s="4">
        <v>1397</v>
      </c>
      <c r="B398" s="3">
        <v>45552</v>
      </c>
      <c r="C398" s="2" t="s">
        <v>8</v>
      </c>
      <c r="D398" s="2" t="s">
        <v>15</v>
      </c>
      <c r="E398" s="2" t="s">
        <v>10</v>
      </c>
      <c r="F398" s="2">
        <v>11</v>
      </c>
      <c r="G398" s="2">
        <v>172.28</v>
      </c>
      <c r="H398" s="5">
        <v>1895.08</v>
      </c>
    </row>
    <row r="399" spans="1:8" x14ac:dyDescent="0.25">
      <c r="A399" s="4">
        <v>1398</v>
      </c>
      <c r="B399" s="3">
        <v>45569</v>
      </c>
      <c r="C399" s="2" t="s">
        <v>17</v>
      </c>
      <c r="D399" s="2" t="s">
        <v>15</v>
      </c>
      <c r="E399" s="2" t="s">
        <v>12</v>
      </c>
      <c r="F399" s="2">
        <v>9</v>
      </c>
      <c r="G399" s="2">
        <v>1332.22</v>
      </c>
      <c r="H399" s="5">
        <v>11989.98</v>
      </c>
    </row>
    <row r="400" spans="1:8" x14ac:dyDescent="0.25">
      <c r="A400" s="4">
        <v>1399</v>
      </c>
      <c r="B400" s="3">
        <v>45323</v>
      </c>
      <c r="C400" s="2" t="s">
        <v>8</v>
      </c>
      <c r="D400" s="2" t="s">
        <v>15</v>
      </c>
      <c r="E400" s="2" t="s">
        <v>16</v>
      </c>
      <c r="F400" s="2">
        <v>14</v>
      </c>
      <c r="G400" s="2">
        <v>641.72</v>
      </c>
      <c r="H400" s="5">
        <v>8984.08</v>
      </c>
    </row>
    <row r="401" spans="1:8" x14ac:dyDescent="0.25">
      <c r="A401" s="4">
        <v>1400</v>
      </c>
      <c r="B401" s="3">
        <v>45354</v>
      </c>
      <c r="C401" s="2" t="s">
        <v>19</v>
      </c>
      <c r="D401" s="2" t="s">
        <v>18</v>
      </c>
      <c r="E401" s="2" t="s">
        <v>12</v>
      </c>
      <c r="F401" s="2">
        <v>19</v>
      </c>
      <c r="G401" s="2">
        <v>409.01</v>
      </c>
      <c r="H401" s="5">
        <v>7771.19</v>
      </c>
    </row>
    <row r="402" spans="1:8" x14ac:dyDescent="0.25">
      <c r="A402" s="4">
        <v>1401</v>
      </c>
      <c r="B402" s="3">
        <v>45306</v>
      </c>
      <c r="C402" s="2" t="s">
        <v>17</v>
      </c>
      <c r="D402" s="2" t="s">
        <v>9</v>
      </c>
      <c r="E402" s="2" t="s">
        <v>21</v>
      </c>
      <c r="F402" s="2">
        <v>6</v>
      </c>
      <c r="G402" s="2">
        <v>1080.6099999999999</v>
      </c>
      <c r="H402" s="5">
        <v>6483.66</v>
      </c>
    </row>
    <row r="403" spans="1:8" x14ac:dyDescent="0.25">
      <c r="A403" s="4">
        <v>1402</v>
      </c>
      <c r="B403" s="3">
        <v>45561</v>
      </c>
      <c r="C403" s="2" t="s">
        <v>8</v>
      </c>
      <c r="D403" s="2" t="s">
        <v>18</v>
      </c>
      <c r="E403" s="2" t="s">
        <v>14</v>
      </c>
      <c r="F403" s="2">
        <v>10</v>
      </c>
      <c r="G403" s="2">
        <v>864.05</v>
      </c>
      <c r="H403" s="5">
        <v>8640.5</v>
      </c>
    </row>
    <row r="404" spans="1:8" x14ac:dyDescent="0.25">
      <c r="A404" s="4">
        <v>1403</v>
      </c>
      <c r="B404" s="3">
        <v>45435</v>
      </c>
      <c r="C404" s="2" t="s">
        <v>8</v>
      </c>
      <c r="D404" s="2" t="s">
        <v>15</v>
      </c>
      <c r="E404" s="2" t="s">
        <v>21</v>
      </c>
      <c r="F404" s="2">
        <v>6</v>
      </c>
      <c r="G404" s="2">
        <v>1115.5</v>
      </c>
      <c r="H404" s="5">
        <v>6693</v>
      </c>
    </row>
    <row r="405" spans="1:8" x14ac:dyDescent="0.25">
      <c r="A405" s="4">
        <v>1404</v>
      </c>
      <c r="B405" s="3">
        <v>45469</v>
      </c>
      <c r="C405" s="2" t="s">
        <v>13</v>
      </c>
      <c r="D405" s="2" t="s">
        <v>9</v>
      </c>
      <c r="E405" s="2" t="s">
        <v>12</v>
      </c>
      <c r="F405" s="2">
        <v>5</v>
      </c>
      <c r="G405" s="2">
        <v>571.21</v>
      </c>
      <c r="H405" s="5">
        <v>2856.05</v>
      </c>
    </row>
    <row r="406" spans="1:8" x14ac:dyDescent="0.25">
      <c r="A406" s="4">
        <v>1405</v>
      </c>
      <c r="B406" s="3">
        <v>45453</v>
      </c>
      <c r="C406" s="2" t="s">
        <v>8</v>
      </c>
      <c r="D406" s="2" t="s">
        <v>20</v>
      </c>
      <c r="E406" s="2" t="s">
        <v>16</v>
      </c>
      <c r="F406" s="2">
        <v>7</v>
      </c>
      <c r="G406" s="2">
        <v>761.62</v>
      </c>
      <c r="H406" s="5">
        <v>5331.34</v>
      </c>
    </row>
    <row r="407" spans="1:8" x14ac:dyDescent="0.25">
      <c r="A407" s="4">
        <v>1406</v>
      </c>
      <c r="B407" s="3">
        <v>45564</v>
      </c>
      <c r="C407" s="2" t="s">
        <v>17</v>
      </c>
      <c r="D407" s="2" t="s">
        <v>18</v>
      </c>
      <c r="E407" s="2" t="s">
        <v>21</v>
      </c>
      <c r="F407" s="2">
        <v>1</v>
      </c>
      <c r="G407" s="2">
        <v>896.76</v>
      </c>
      <c r="H407" s="5">
        <v>896.76</v>
      </c>
    </row>
    <row r="408" spans="1:8" x14ac:dyDescent="0.25">
      <c r="A408" s="4">
        <v>1407</v>
      </c>
      <c r="B408" s="3">
        <v>45438</v>
      </c>
      <c r="C408" s="2" t="s">
        <v>19</v>
      </c>
      <c r="D408" s="2" t="s">
        <v>18</v>
      </c>
      <c r="E408" s="2" t="s">
        <v>21</v>
      </c>
      <c r="F408" s="2">
        <v>6</v>
      </c>
      <c r="G408" s="2">
        <v>1364.41</v>
      </c>
      <c r="H408" s="5">
        <v>8186.4600000000009</v>
      </c>
    </row>
    <row r="409" spans="1:8" x14ac:dyDescent="0.25">
      <c r="A409" s="4">
        <v>1408</v>
      </c>
      <c r="B409" s="3">
        <v>45368</v>
      </c>
      <c r="C409" s="2" t="s">
        <v>8</v>
      </c>
      <c r="D409" s="2" t="s">
        <v>9</v>
      </c>
      <c r="E409" s="2" t="s">
        <v>16</v>
      </c>
      <c r="F409" s="2">
        <v>13</v>
      </c>
      <c r="G409" s="2">
        <v>571.62</v>
      </c>
      <c r="H409" s="5">
        <v>7431.06</v>
      </c>
    </row>
    <row r="410" spans="1:8" x14ac:dyDescent="0.25">
      <c r="A410" s="4">
        <v>1409</v>
      </c>
      <c r="B410" s="3">
        <v>45397</v>
      </c>
      <c r="C410" s="2" t="s">
        <v>17</v>
      </c>
      <c r="D410" s="2" t="s">
        <v>9</v>
      </c>
      <c r="E410" s="2" t="s">
        <v>16</v>
      </c>
      <c r="F410" s="2">
        <v>8</v>
      </c>
      <c r="G410" s="2">
        <v>208.65</v>
      </c>
      <c r="H410" s="5">
        <v>1669.2</v>
      </c>
    </row>
    <row r="411" spans="1:8" x14ac:dyDescent="0.25">
      <c r="A411" s="4">
        <v>1410</v>
      </c>
      <c r="B411" s="3">
        <v>45557</v>
      </c>
      <c r="C411" s="2" t="s">
        <v>8</v>
      </c>
      <c r="D411" s="2" t="s">
        <v>20</v>
      </c>
      <c r="E411" s="2" t="s">
        <v>10</v>
      </c>
      <c r="F411" s="2">
        <v>1</v>
      </c>
      <c r="G411" s="2">
        <v>899.15</v>
      </c>
      <c r="H411" s="5">
        <v>899.15</v>
      </c>
    </row>
    <row r="412" spans="1:8" x14ac:dyDescent="0.25">
      <c r="A412" s="4">
        <v>1411</v>
      </c>
      <c r="B412" s="3">
        <v>45340</v>
      </c>
      <c r="C412" s="2" t="s">
        <v>8</v>
      </c>
      <c r="D412" s="2" t="s">
        <v>15</v>
      </c>
      <c r="E412" s="2" t="s">
        <v>21</v>
      </c>
      <c r="F412" s="2">
        <v>16</v>
      </c>
      <c r="G412" s="2">
        <v>889.93</v>
      </c>
      <c r="H412" s="5">
        <v>14238.88</v>
      </c>
    </row>
    <row r="413" spans="1:8" x14ac:dyDescent="0.25">
      <c r="A413" s="4">
        <v>1412</v>
      </c>
      <c r="B413" s="3">
        <v>45569</v>
      </c>
      <c r="C413" s="2" t="s">
        <v>19</v>
      </c>
      <c r="D413" s="2" t="s">
        <v>9</v>
      </c>
      <c r="E413" s="2" t="s">
        <v>14</v>
      </c>
      <c r="F413" s="2">
        <v>16</v>
      </c>
      <c r="G413" s="2">
        <v>1173.08</v>
      </c>
      <c r="H413" s="5">
        <v>18769.28</v>
      </c>
    </row>
    <row r="414" spans="1:8" x14ac:dyDescent="0.25">
      <c r="A414" s="4">
        <v>1413</v>
      </c>
      <c r="B414" s="3">
        <v>45614</v>
      </c>
      <c r="C414" s="2" t="s">
        <v>17</v>
      </c>
      <c r="D414" s="2" t="s">
        <v>20</v>
      </c>
      <c r="E414" s="2" t="s">
        <v>21</v>
      </c>
      <c r="F414" s="2">
        <v>6</v>
      </c>
      <c r="G414" s="2">
        <v>130.13</v>
      </c>
      <c r="H414" s="5">
        <v>780.78</v>
      </c>
    </row>
    <row r="415" spans="1:8" x14ac:dyDescent="0.25">
      <c r="A415" s="4">
        <v>1414</v>
      </c>
      <c r="B415" s="3">
        <v>45427</v>
      </c>
      <c r="C415" s="2" t="s">
        <v>17</v>
      </c>
      <c r="D415" s="2" t="s">
        <v>20</v>
      </c>
      <c r="E415" s="2" t="s">
        <v>10</v>
      </c>
      <c r="F415" s="2">
        <v>14</v>
      </c>
      <c r="G415" s="2">
        <v>766.36</v>
      </c>
      <c r="H415" s="5">
        <v>10729.04</v>
      </c>
    </row>
    <row r="416" spans="1:8" x14ac:dyDescent="0.25">
      <c r="A416" s="4">
        <v>1415</v>
      </c>
      <c r="B416" s="3">
        <v>45312</v>
      </c>
      <c r="C416" s="2" t="s">
        <v>13</v>
      </c>
      <c r="D416" s="2" t="s">
        <v>20</v>
      </c>
      <c r="E416" s="2" t="s">
        <v>12</v>
      </c>
      <c r="F416" s="2">
        <v>18</v>
      </c>
      <c r="G416" s="2">
        <v>351.72</v>
      </c>
      <c r="H416" s="5">
        <v>6330.9600000000009</v>
      </c>
    </row>
    <row r="417" spans="1:8" x14ac:dyDescent="0.25">
      <c r="A417" s="4">
        <v>1416</v>
      </c>
      <c r="B417" s="3">
        <v>45381</v>
      </c>
      <c r="C417" s="2" t="s">
        <v>11</v>
      </c>
      <c r="D417" s="2" t="s">
        <v>20</v>
      </c>
      <c r="E417" s="2" t="s">
        <v>10</v>
      </c>
      <c r="F417" s="2">
        <v>4</v>
      </c>
      <c r="G417" s="2">
        <v>693.22</v>
      </c>
      <c r="H417" s="5">
        <v>2772.88</v>
      </c>
    </row>
    <row r="418" spans="1:8" x14ac:dyDescent="0.25">
      <c r="A418" s="4">
        <v>1417</v>
      </c>
      <c r="B418" s="3">
        <v>45568</v>
      </c>
      <c r="C418" s="2" t="s">
        <v>19</v>
      </c>
      <c r="D418" s="2" t="s">
        <v>15</v>
      </c>
      <c r="E418" s="2" t="s">
        <v>14</v>
      </c>
      <c r="F418" s="2">
        <v>7</v>
      </c>
      <c r="G418" s="2">
        <v>1021.94</v>
      </c>
      <c r="H418" s="5">
        <v>7153.58</v>
      </c>
    </row>
    <row r="419" spans="1:8" x14ac:dyDescent="0.25">
      <c r="A419" s="4">
        <v>1418</v>
      </c>
      <c r="B419" s="3">
        <v>45308</v>
      </c>
      <c r="C419" s="2" t="s">
        <v>17</v>
      </c>
      <c r="D419" s="2" t="s">
        <v>9</v>
      </c>
      <c r="E419" s="2" t="s">
        <v>16</v>
      </c>
      <c r="F419" s="2">
        <v>11</v>
      </c>
      <c r="G419" s="2">
        <v>767.47</v>
      </c>
      <c r="H419" s="5">
        <v>8442.17</v>
      </c>
    </row>
    <row r="420" spans="1:8" x14ac:dyDescent="0.25">
      <c r="A420" s="4">
        <v>1419</v>
      </c>
      <c r="B420" s="3">
        <v>45655</v>
      </c>
      <c r="C420" s="2" t="s">
        <v>17</v>
      </c>
      <c r="D420" s="2" t="s">
        <v>20</v>
      </c>
      <c r="E420" s="2" t="s">
        <v>14</v>
      </c>
      <c r="F420" s="2">
        <v>18</v>
      </c>
      <c r="G420" s="2">
        <v>447.24</v>
      </c>
      <c r="H420" s="5">
        <v>8050.32</v>
      </c>
    </row>
    <row r="421" spans="1:8" x14ac:dyDescent="0.25">
      <c r="A421" s="4">
        <v>1420</v>
      </c>
      <c r="B421" s="3">
        <v>45578</v>
      </c>
      <c r="C421" s="2" t="s">
        <v>11</v>
      </c>
      <c r="D421" s="2" t="s">
        <v>9</v>
      </c>
      <c r="E421" s="2" t="s">
        <v>21</v>
      </c>
      <c r="F421" s="2">
        <v>9</v>
      </c>
      <c r="G421" s="2">
        <v>61.76</v>
      </c>
      <c r="H421" s="5">
        <v>555.84</v>
      </c>
    </row>
    <row r="422" spans="1:8" x14ac:dyDescent="0.25">
      <c r="A422" s="4">
        <v>1421</v>
      </c>
      <c r="B422" s="3">
        <v>45623</v>
      </c>
      <c r="C422" s="2" t="s">
        <v>13</v>
      </c>
      <c r="D422" s="2" t="s">
        <v>15</v>
      </c>
      <c r="E422" s="2" t="s">
        <v>12</v>
      </c>
      <c r="F422" s="2">
        <v>3</v>
      </c>
      <c r="G422" s="2">
        <v>449.41</v>
      </c>
      <c r="H422" s="5">
        <v>1348.23</v>
      </c>
    </row>
    <row r="423" spans="1:8" x14ac:dyDescent="0.25">
      <c r="A423" s="4">
        <v>1422</v>
      </c>
      <c r="B423" s="3">
        <v>45358</v>
      </c>
      <c r="C423" s="2" t="s">
        <v>11</v>
      </c>
      <c r="D423" s="2" t="s">
        <v>9</v>
      </c>
      <c r="E423" s="2" t="s">
        <v>12</v>
      </c>
      <c r="F423" s="2">
        <v>11</v>
      </c>
      <c r="G423" s="2">
        <v>1056.6300000000001</v>
      </c>
      <c r="H423" s="5">
        <v>11622.93</v>
      </c>
    </row>
    <row r="424" spans="1:8" x14ac:dyDescent="0.25">
      <c r="A424" s="4">
        <v>1423</v>
      </c>
      <c r="B424" s="3">
        <v>45424</v>
      </c>
      <c r="C424" s="2" t="s">
        <v>11</v>
      </c>
      <c r="D424" s="2" t="s">
        <v>18</v>
      </c>
      <c r="E424" s="2" t="s">
        <v>14</v>
      </c>
      <c r="F424" s="2">
        <v>4</v>
      </c>
      <c r="G424" s="2">
        <v>362.77</v>
      </c>
      <c r="H424" s="5">
        <v>1451.08</v>
      </c>
    </row>
    <row r="425" spans="1:8" x14ac:dyDescent="0.25">
      <c r="A425" s="4">
        <v>1424</v>
      </c>
      <c r="B425" s="3">
        <v>45626</v>
      </c>
      <c r="C425" s="2" t="s">
        <v>19</v>
      </c>
      <c r="D425" s="2" t="s">
        <v>15</v>
      </c>
      <c r="E425" s="2" t="s">
        <v>21</v>
      </c>
      <c r="F425" s="2">
        <v>1</v>
      </c>
      <c r="G425" s="2">
        <v>1467.89</v>
      </c>
      <c r="H425" s="5">
        <v>1467.89</v>
      </c>
    </row>
    <row r="426" spans="1:8" x14ac:dyDescent="0.25">
      <c r="A426" s="4">
        <v>1425</v>
      </c>
      <c r="B426" s="3">
        <v>45315</v>
      </c>
      <c r="C426" s="2" t="s">
        <v>8</v>
      </c>
      <c r="D426" s="2" t="s">
        <v>20</v>
      </c>
      <c r="E426" s="2" t="s">
        <v>14</v>
      </c>
      <c r="F426" s="2">
        <v>17</v>
      </c>
      <c r="G426" s="2">
        <v>1390.81</v>
      </c>
      <c r="H426" s="5">
        <v>23643.77</v>
      </c>
    </row>
    <row r="427" spans="1:8" x14ac:dyDescent="0.25">
      <c r="A427" s="4">
        <v>1426</v>
      </c>
      <c r="B427" s="3">
        <v>45530</v>
      </c>
      <c r="C427" s="2" t="s">
        <v>13</v>
      </c>
      <c r="D427" s="2" t="s">
        <v>18</v>
      </c>
      <c r="E427" s="2" t="s">
        <v>16</v>
      </c>
      <c r="F427" s="2">
        <v>16</v>
      </c>
      <c r="G427" s="2">
        <v>362.53</v>
      </c>
      <c r="H427" s="5">
        <v>5800.48</v>
      </c>
    </row>
    <row r="428" spans="1:8" x14ac:dyDescent="0.25">
      <c r="A428" s="4">
        <v>1427</v>
      </c>
      <c r="B428" s="3">
        <v>45402</v>
      </c>
      <c r="C428" s="2" t="s">
        <v>8</v>
      </c>
      <c r="D428" s="2" t="s">
        <v>9</v>
      </c>
      <c r="E428" s="2" t="s">
        <v>12</v>
      </c>
      <c r="F428" s="2">
        <v>17</v>
      </c>
      <c r="G428" s="2">
        <v>440.34</v>
      </c>
      <c r="H428" s="5">
        <v>7485.78</v>
      </c>
    </row>
    <row r="429" spans="1:8" x14ac:dyDescent="0.25">
      <c r="A429" s="4">
        <v>1428</v>
      </c>
      <c r="B429" s="3">
        <v>45478</v>
      </c>
      <c r="C429" s="2" t="s">
        <v>13</v>
      </c>
      <c r="D429" s="2" t="s">
        <v>20</v>
      </c>
      <c r="E429" s="2" t="s">
        <v>14</v>
      </c>
      <c r="F429" s="2">
        <v>1</v>
      </c>
      <c r="G429" s="2">
        <v>1235.55</v>
      </c>
      <c r="H429" s="5">
        <v>1235.55</v>
      </c>
    </row>
    <row r="430" spans="1:8" x14ac:dyDescent="0.25">
      <c r="A430" s="4">
        <v>1429</v>
      </c>
      <c r="B430" s="3">
        <v>45483</v>
      </c>
      <c r="C430" s="2" t="s">
        <v>19</v>
      </c>
      <c r="D430" s="2" t="s">
        <v>9</v>
      </c>
      <c r="E430" s="2" t="s">
        <v>12</v>
      </c>
      <c r="F430" s="2">
        <v>12</v>
      </c>
      <c r="G430" s="2">
        <v>970.25</v>
      </c>
      <c r="H430" s="5">
        <v>11643</v>
      </c>
    </row>
    <row r="431" spans="1:8" x14ac:dyDescent="0.25">
      <c r="A431" s="4">
        <v>1430</v>
      </c>
      <c r="B431" s="3">
        <v>45302</v>
      </c>
      <c r="C431" s="2" t="s">
        <v>13</v>
      </c>
      <c r="D431" s="2" t="s">
        <v>9</v>
      </c>
      <c r="E431" s="2" t="s">
        <v>14</v>
      </c>
      <c r="F431" s="2">
        <v>2</v>
      </c>
      <c r="G431" s="2">
        <v>1117.0899999999999</v>
      </c>
      <c r="H431" s="5">
        <v>2234.1799999999998</v>
      </c>
    </row>
    <row r="432" spans="1:8" x14ac:dyDescent="0.25">
      <c r="A432" s="4">
        <v>1431</v>
      </c>
      <c r="B432" s="3">
        <v>45610</v>
      </c>
      <c r="C432" s="2" t="s">
        <v>17</v>
      </c>
      <c r="D432" s="2" t="s">
        <v>18</v>
      </c>
      <c r="E432" s="2" t="s">
        <v>14</v>
      </c>
      <c r="F432" s="2">
        <v>7</v>
      </c>
      <c r="G432" s="2">
        <v>460.29</v>
      </c>
      <c r="H432" s="5">
        <v>3222.03</v>
      </c>
    </row>
    <row r="433" spans="1:8" x14ac:dyDescent="0.25">
      <c r="A433" s="4">
        <v>1432</v>
      </c>
      <c r="B433" s="3">
        <v>45560</v>
      </c>
      <c r="C433" s="2" t="s">
        <v>8</v>
      </c>
      <c r="D433" s="2" t="s">
        <v>9</v>
      </c>
      <c r="E433" s="2" t="s">
        <v>21</v>
      </c>
      <c r="F433" s="2">
        <v>15</v>
      </c>
      <c r="G433" s="2">
        <v>1023.16</v>
      </c>
      <c r="H433" s="5">
        <v>15347.4</v>
      </c>
    </row>
    <row r="434" spans="1:8" x14ac:dyDescent="0.25">
      <c r="A434" s="4">
        <v>1433</v>
      </c>
      <c r="B434" s="3">
        <v>45508</v>
      </c>
      <c r="C434" s="2" t="s">
        <v>17</v>
      </c>
      <c r="D434" s="2" t="s">
        <v>15</v>
      </c>
      <c r="E434" s="2" t="s">
        <v>14</v>
      </c>
      <c r="F434" s="2">
        <v>9</v>
      </c>
      <c r="G434" s="2">
        <v>76.11</v>
      </c>
      <c r="H434" s="5">
        <v>684.99</v>
      </c>
    </row>
    <row r="435" spans="1:8" x14ac:dyDescent="0.25">
      <c r="A435" s="4">
        <v>1434</v>
      </c>
      <c r="B435" s="3">
        <v>45528</v>
      </c>
      <c r="C435" s="2" t="s">
        <v>17</v>
      </c>
      <c r="D435" s="2" t="s">
        <v>9</v>
      </c>
      <c r="E435" s="2" t="s">
        <v>12</v>
      </c>
      <c r="F435" s="2">
        <v>15</v>
      </c>
      <c r="G435" s="2">
        <v>1352.12</v>
      </c>
      <c r="H435" s="5">
        <v>20281.8</v>
      </c>
    </row>
    <row r="436" spans="1:8" x14ac:dyDescent="0.25">
      <c r="A436" s="4">
        <v>1435</v>
      </c>
      <c r="B436" s="3">
        <v>45502</v>
      </c>
      <c r="C436" s="2" t="s">
        <v>13</v>
      </c>
      <c r="D436" s="2" t="s">
        <v>18</v>
      </c>
      <c r="E436" s="2" t="s">
        <v>10</v>
      </c>
      <c r="F436" s="2">
        <v>3</v>
      </c>
      <c r="G436" s="2">
        <v>894.61</v>
      </c>
      <c r="H436" s="5">
        <v>2683.83</v>
      </c>
    </row>
    <row r="437" spans="1:8" x14ac:dyDescent="0.25">
      <c r="A437" s="4">
        <v>1436</v>
      </c>
      <c r="B437" s="3">
        <v>45348</v>
      </c>
      <c r="C437" s="2" t="s">
        <v>13</v>
      </c>
      <c r="D437" s="2" t="s">
        <v>20</v>
      </c>
      <c r="E437" s="2" t="s">
        <v>12</v>
      </c>
      <c r="F437" s="2">
        <v>18</v>
      </c>
      <c r="G437" s="2">
        <v>174.33</v>
      </c>
      <c r="H437" s="5">
        <v>3137.94</v>
      </c>
    </row>
    <row r="438" spans="1:8" x14ac:dyDescent="0.25">
      <c r="A438" s="4">
        <v>1437</v>
      </c>
      <c r="B438" s="3">
        <v>45525</v>
      </c>
      <c r="C438" s="2" t="s">
        <v>13</v>
      </c>
      <c r="D438" s="2" t="s">
        <v>15</v>
      </c>
      <c r="E438" s="2" t="s">
        <v>21</v>
      </c>
      <c r="F438" s="2">
        <v>15</v>
      </c>
      <c r="G438" s="2">
        <v>1343.13</v>
      </c>
      <c r="H438" s="5">
        <v>20146.95</v>
      </c>
    </row>
    <row r="439" spans="1:8" x14ac:dyDescent="0.25">
      <c r="A439" s="4">
        <v>1438</v>
      </c>
      <c r="B439" s="3">
        <v>45652</v>
      </c>
      <c r="C439" s="2" t="s">
        <v>11</v>
      </c>
      <c r="D439" s="2" t="s">
        <v>18</v>
      </c>
      <c r="E439" s="2" t="s">
        <v>16</v>
      </c>
      <c r="F439" s="2">
        <v>19</v>
      </c>
      <c r="G439" s="2">
        <v>251.42</v>
      </c>
      <c r="H439" s="5">
        <v>4776.9799999999996</v>
      </c>
    </row>
    <row r="440" spans="1:8" x14ac:dyDescent="0.25">
      <c r="A440" s="4">
        <v>1439</v>
      </c>
      <c r="B440" s="3">
        <v>45627</v>
      </c>
      <c r="C440" s="2" t="s">
        <v>8</v>
      </c>
      <c r="D440" s="2" t="s">
        <v>15</v>
      </c>
      <c r="E440" s="2" t="s">
        <v>14</v>
      </c>
      <c r="F440" s="2">
        <v>19</v>
      </c>
      <c r="G440" s="2">
        <v>1258.6099999999999</v>
      </c>
      <c r="H440" s="5">
        <v>23913.59</v>
      </c>
    </row>
    <row r="441" spans="1:8" x14ac:dyDescent="0.25">
      <c r="A441" s="4">
        <v>1440</v>
      </c>
      <c r="B441" s="3">
        <v>45521</v>
      </c>
      <c r="C441" s="2" t="s">
        <v>13</v>
      </c>
      <c r="D441" s="2" t="s">
        <v>18</v>
      </c>
      <c r="E441" s="2" t="s">
        <v>10</v>
      </c>
      <c r="F441" s="2">
        <v>11</v>
      </c>
      <c r="G441" s="2">
        <v>720.68</v>
      </c>
      <c r="H441" s="5">
        <v>7927.48</v>
      </c>
    </row>
    <row r="442" spans="1:8" x14ac:dyDescent="0.25">
      <c r="A442" s="4">
        <v>1441</v>
      </c>
      <c r="B442" s="3">
        <v>45526</v>
      </c>
      <c r="C442" s="2" t="s">
        <v>19</v>
      </c>
      <c r="D442" s="2" t="s">
        <v>9</v>
      </c>
      <c r="E442" s="2" t="s">
        <v>21</v>
      </c>
      <c r="F442" s="2">
        <v>19</v>
      </c>
      <c r="G442" s="2">
        <v>1225.54</v>
      </c>
      <c r="H442" s="5">
        <v>23285.26</v>
      </c>
    </row>
    <row r="443" spans="1:8" x14ac:dyDescent="0.25">
      <c r="A443" s="4">
        <v>1442</v>
      </c>
      <c r="B443" s="3">
        <v>45325</v>
      </c>
      <c r="C443" s="2" t="s">
        <v>13</v>
      </c>
      <c r="D443" s="2" t="s">
        <v>15</v>
      </c>
      <c r="E443" s="2" t="s">
        <v>21</v>
      </c>
      <c r="F443" s="2">
        <v>16</v>
      </c>
      <c r="G443" s="2">
        <v>1415.34</v>
      </c>
      <c r="H443" s="5">
        <v>22645.439999999999</v>
      </c>
    </row>
    <row r="444" spans="1:8" x14ac:dyDescent="0.25">
      <c r="A444" s="4">
        <v>1443</v>
      </c>
      <c r="B444" s="3">
        <v>45405</v>
      </c>
      <c r="C444" s="2" t="s">
        <v>19</v>
      </c>
      <c r="D444" s="2" t="s">
        <v>15</v>
      </c>
      <c r="E444" s="2" t="s">
        <v>12</v>
      </c>
      <c r="F444" s="2">
        <v>12</v>
      </c>
      <c r="G444" s="2">
        <v>787.77</v>
      </c>
      <c r="H444" s="5">
        <v>9453.24</v>
      </c>
    </row>
    <row r="445" spans="1:8" x14ac:dyDescent="0.25">
      <c r="A445" s="4">
        <v>1444</v>
      </c>
      <c r="B445" s="3">
        <v>45343</v>
      </c>
      <c r="C445" s="2" t="s">
        <v>13</v>
      </c>
      <c r="D445" s="2" t="s">
        <v>18</v>
      </c>
      <c r="E445" s="2" t="s">
        <v>16</v>
      </c>
      <c r="F445" s="2">
        <v>1</v>
      </c>
      <c r="G445" s="2">
        <v>1027.6099999999999</v>
      </c>
      <c r="H445" s="5">
        <v>1027.6099999999999</v>
      </c>
    </row>
    <row r="446" spans="1:8" x14ac:dyDescent="0.25">
      <c r="A446" s="4">
        <v>1445</v>
      </c>
      <c r="B446" s="3">
        <v>45551</v>
      </c>
      <c r="C446" s="2" t="s">
        <v>8</v>
      </c>
      <c r="D446" s="2" t="s">
        <v>15</v>
      </c>
      <c r="E446" s="2" t="s">
        <v>14</v>
      </c>
      <c r="F446" s="2">
        <v>17</v>
      </c>
      <c r="G446" s="2">
        <v>595.52</v>
      </c>
      <c r="H446" s="5">
        <v>10123.84</v>
      </c>
    </row>
    <row r="447" spans="1:8" x14ac:dyDescent="0.25">
      <c r="A447" s="4">
        <v>1446</v>
      </c>
      <c r="B447" s="3">
        <v>45330</v>
      </c>
      <c r="C447" s="2" t="s">
        <v>11</v>
      </c>
      <c r="D447" s="2" t="s">
        <v>18</v>
      </c>
      <c r="E447" s="2" t="s">
        <v>12</v>
      </c>
      <c r="F447" s="2">
        <v>14</v>
      </c>
      <c r="G447" s="2">
        <v>743.4</v>
      </c>
      <c r="H447" s="5">
        <v>10407.6</v>
      </c>
    </row>
    <row r="448" spans="1:8" x14ac:dyDescent="0.25">
      <c r="A448" s="4">
        <v>1447</v>
      </c>
      <c r="B448" s="3">
        <v>45457</v>
      </c>
      <c r="C448" s="2" t="s">
        <v>13</v>
      </c>
      <c r="D448" s="2" t="s">
        <v>15</v>
      </c>
      <c r="E448" s="2" t="s">
        <v>16</v>
      </c>
      <c r="F448" s="2">
        <v>5</v>
      </c>
      <c r="G448" s="2">
        <v>1041.28</v>
      </c>
      <c r="H448" s="5">
        <v>5206.3999999999996</v>
      </c>
    </row>
    <row r="449" spans="1:8" x14ac:dyDescent="0.25">
      <c r="A449" s="4">
        <v>1448</v>
      </c>
      <c r="B449" s="3">
        <v>45375</v>
      </c>
      <c r="C449" s="2" t="s">
        <v>11</v>
      </c>
      <c r="D449" s="2" t="s">
        <v>9</v>
      </c>
      <c r="E449" s="2" t="s">
        <v>12</v>
      </c>
      <c r="F449" s="2">
        <v>18</v>
      </c>
      <c r="G449" s="2">
        <v>404.19</v>
      </c>
      <c r="H449" s="5">
        <v>7275.42</v>
      </c>
    </row>
    <row r="450" spans="1:8" x14ac:dyDescent="0.25">
      <c r="A450" s="4">
        <v>1449</v>
      </c>
      <c r="B450" s="3">
        <v>45579</v>
      </c>
      <c r="C450" s="2" t="s">
        <v>17</v>
      </c>
      <c r="D450" s="2" t="s">
        <v>15</v>
      </c>
      <c r="E450" s="2" t="s">
        <v>10</v>
      </c>
      <c r="F450" s="2">
        <v>7</v>
      </c>
      <c r="G450" s="2">
        <v>1264.28</v>
      </c>
      <c r="H450" s="5">
        <v>8849.9599999999991</v>
      </c>
    </row>
    <row r="451" spans="1:8" x14ac:dyDescent="0.25">
      <c r="A451" s="4">
        <v>1450</v>
      </c>
      <c r="B451" s="3">
        <v>45387</v>
      </c>
      <c r="C451" s="2" t="s">
        <v>11</v>
      </c>
      <c r="D451" s="2" t="s">
        <v>9</v>
      </c>
      <c r="E451" s="2" t="s">
        <v>16</v>
      </c>
      <c r="F451" s="2">
        <v>13</v>
      </c>
      <c r="G451" s="2">
        <v>1282.74</v>
      </c>
      <c r="H451" s="5">
        <v>16675.62</v>
      </c>
    </row>
    <row r="452" spans="1:8" x14ac:dyDescent="0.25">
      <c r="A452" s="4">
        <v>1451</v>
      </c>
      <c r="B452" s="3">
        <v>45393</v>
      </c>
      <c r="C452" s="2" t="s">
        <v>11</v>
      </c>
      <c r="D452" s="2" t="s">
        <v>15</v>
      </c>
      <c r="E452" s="2" t="s">
        <v>21</v>
      </c>
      <c r="F452" s="2">
        <v>17</v>
      </c>
      <c r="G452" s="2">
        <v>1498.55</v>
      </c>
      <c r="H452" s="5">
        <v>25475.35</v>
      </c>
    </row>
    <row r="453" spans="1:8" x14ac:dyDescent="0.25">
      <c r="A453" s="4">
        <v>1452</v>
      </c>
      <c r="B453" s="3">
        <v>45569</v>
      </c>
      <c r="C453" s="2" t="s">
        <v>19</v>
      </c>
      <c r="D453" s="2" t="s">
        <v>9</v>
      </c>
      <c r="E453" s="2" t="s">
        <v>16</v>
      </c>
      <c r="F453" s="2">
        <v>9</v>
      </c>
      <c r="G453" s="2">
        <v>176.06</v>
      </c>
      <c r="H453" s="5">
        <v>1584.54</v>
      </c>
    </row>
    <row r="454" spans="1:8" x14ac:dyDescent="0.25">
      <c r="A454" s="4">
        <v>1453</v>
      </c>
      <c r="B454" s="3">
        <v>45393</v>
      </c>
      <c r="C454" s="2" t="s">
        <v>11</v>
      </c>
      <c r="D454" s="2" t="s">
        <v>18</v>
      </c>
      <c r="E454" s="2" t="s">
        <v>21</v>
      </c>
      <c r="F454" s="2">
        <v>8</v>
      </c>
      <c r="G454" s="2">
        <v>330.39</v>
      </c>
      <c r="H454" s="5">
        <v>2643.12</v>
      </c>
    </row>
    <row r="455" spans="1:8" x14ac:dyDescent="0.25">
      <c r="A455" s="4">
        <v>1454</v>
      </c>
      <c r="B455" s="3">
        <v>45395</v>
      </c>
      <c r="C455" s="2" t="s">
        <v>17</v>
      </c>
      <c r="D455" s="2" t="s">
        <v>18</v>
      </c>
      <c r="E455" s="2" t="s">
        <v>12</v>
      </c>
      <c r="F455" s="2">
        <v>1</v>
      </c>
      <c r="G455" s="2">
        <v>1042.68</v>
      </c>
      <c r="H455" s="5">
        <v>1042.68</v>
      </c>
    </row>
    <row r="456" spans="1:8" x14ac:dyDescent="0.25">
      <c r="A456" s="4">
        <v>1455</v>
      </c>
      <c r="B456" s="3">
        <v>45627</v>
      </c>
      <c r="C456" s="2" t="s">
        <v>19</v>
      </c>
      <c r="D456" s="2" t="s">
        <v>9</v>
      </c>
      <c r="E456" s="2" t="s">
        <v>12</v>
      </c>
      <c r="F456" s="2">
        <v>16</v>
      </c>
      <c r="G456" s="2">
        <v>355.34</v>
      </c>
      <c r="H456" s="5">
        <v>5685.44</v>
      </c>
    </row>
    <row r="457" spans="1:8" x14ac:dyDescent="0.25">
      <c r="A457" s="4">
        <v>1456</v>
      </c>
      <c r="B457" s="3">
        <v>45353</v>
      </c>
      <c r="C457" s="2" t="s">
        <v>8</v>
      </c>
      <c r="D457" s="2" t="s">
        <v>15</v>
      </c>
      <c r="E457" s="2" t="s">
        <v>21</v>
      </c>
      <c r="F457" s="2">
        <v>8</v>
      </c>
      <c r="G457" s="2">
        <v>567.24</v>
      </c>
      <c r="H457" s="5">
        <v>4537.92</v>
      </c>
    </row>
    <row r="458" spans="1:8" x14ac:dyDescent="0.25">
      <c r="A458" s="4">
        <v>1457</v>
      </c>
      <c r="B458" s="3">
        <v>45391</v>
      </c>
      <c r="C458" s="2" t="s">
        <v>13</v>
      </c>
      <c r="D458" s="2" t="s">
        <v>15</v>
      </c>
      <c r="E458" s="2" t="s">
        <v>10</v>
      </c>
      <c r="F458" s="2">
        <v>3</v>
      </c>
      <c r="G458" s="2">
        <v>724.35</v>
      </c>
      <c r="H458" s="5">
        <v>2173.0500000000002</v>
      </c>
    </row>
    <row r="459" spans="1:8" x14ac:dyDescent="0.25">
      <c r="A459" s="4">
        <v>1458</v>
      </c>
      <c r="B459" s="3">
        <v>45567</v>
      </c>
      <c r="C459" s="2" t="s">
        <v>8</v>
      </c>
      <c r="D459" s="2" t="s">
        <v>15</v>
      </c>
      <c r="E459" s="2" t="s">
        <v>12</v>
      </c>
      <c r="F459" s="2">
        <v>4</v>
      </c>
      <c r="G459" s="2">
        <v>585.09</v>
      </c>
      <c r="H459" s="5">
        <v>2340.36</v>
      </c>
    </row>
    <row r="460" spans="1:8" x14ac:dyDescent="0.25">
      <c r="A460" s="4">
        <v>1459</v>
      </c>
      <c r="B460" s="3">
        <v>45585</v>
      </c>
      <c r="C460" s="2" t="s">
        <v>17</v>
      </c>
      <c r="D460" s="2" t="s">
        <v>20</v>
      </c>
      <c r="E460" s="2" t="s">
        <v>10</v>
      </c>
      <c r="F460" s="2">
        <v>3</v>
      </c>
      <c r="G460" s="2">
        <v>528.28</v>
      </c>
      <c r="H460" s="5">
        <v>1584.84</v>
      </c>
    </row>
    <row r="461" spans="1:8" x14ac:dyDescent="0.25">
      <c r="A461" s="4">
        <v>1460</v>
      </c>
      <c r="B461" s="3">
        <v>45303</v>
      </c>
      <c r="C461" s="2" t="s">
        <v>8</v>
      </c>
      <c r="D461" s="2" t="s">
        <v>15</v>
      </c>
      <c r="E461" s="2" t="s">
        <v>12</v>
      </c>
      <c r="F461" s="2">
        <v>5</v>
      </c>
      <c r="G461" s="2">
        <v>243.74</v>
      </c>
      <c r="H461" s="5">
        <v>1218.7</v>
      </c>
    </row>
    <row r="462" spans="1:8" x14ac:dyDescent="0.25">
      <c r="A462" s="4">
        <v>1461</v>
      </c>
      <c r="B462" s="3">
        <v>45454</v>
      </c>
      <c r="C462" s="2" t="s">
        <v>8</v>
      </c>
      <c r="D462" s="2" t="s">
        <v>9</v>
      </c>
      <c r="E462" s="2" t="s">
        <v>10</v>
      </c>
      <c r="F462" s="2">
        <v>17</v>
      </c>
      <c r="G462" s="2">
        <v>1471.09</v>
      </c>
      <c r="H462" s="5">
        <v>25008.53</v>
      </c>
    </row>
    <row r="463" spans="1:8" x14ac:dyDescent="0.25">
      <c r="A463" s="4">
        <v>1462</v>
      </c>
      <c r="B463" s="3">
        <v>45535</v>
      </c>
      <c r="C463" s="2" t="s">
        <v>11</v>
      </c>
      <c r="D463" s="2" t="s">
        <v>20</v>
      </c>
      <c r="E463" s="2" t="s">
        <v>14</v>
      </c>
      <c r="F463" s="2">
        <v>1</v>
      </c>
      <c r="G463" s="2">
        <v>1154.6600000000001</v>
      </c>
      <c r="H463" s="5">
        <v>1154.6600000000001</v>
      </c>
    </row>
    <row r="464" spans="1:8" x14ac:dyDescent="0.25">
      <c r="A464" s="4">
        <v>1463</v>
      </c>
      <c r="B464" s="3">
        <v>45322</v>
      </c>
      <c r="C464" s="2" t="s">
        <v>13</v>
      </c>
      <c r="D464" s="2" t="s">
        <v>20</v>
      </c>
      <c r="E464" s="2" t="s">
        <v>16</v>
      </c>
      <c r="F464" s="2">
        <v>7</v>
      </c>
      <c r="G464" s="2">
        <v>1165.0999999999999</v>
      </c>
      <c r="H464" s="5">
        <v>8155.6999999999989</v>
      </c>
    </row>
    <row r="465" spans="1:8" x14ac:dyDescent="0.25">
      <c r="A465" s="4">
        <v>1464</v>
      </c>
      <c r="B465" s="3">
        <v>45645</v>
      </c>
      <c r="C465" s="2" t="s">
        <v>11</v>
      </c>
      <c r="D465" s="2" t="s">
        <v>20</v>
      </c>
      <c r="E465" s="2" t="s">
        <v>14</v>
      </c>
      <c r="F465" s="2">
        <v>15</v>
      </c>
      <c r="G465" s="2">
        <v>80.58</v>
      </c>
      <c r="H465" s="5">
        <v>1208.7</v>
      </c>
    </row>
    <row r="466" spans="1:8" x14ac:dyDescent="0.25">
      <c r="A466" s="4">
        <v>1465</v>
      </c>
      <c r="B466" s="3">
        <v>45645</v>
      </c>
      <c r="C466" s="2" t="s">
        <v>11</v>
      </c>
      <c r="D466" s="2" t="s">
        <v>18</v>
      </c>
      <c r="E466" s="2" t="s">
        <v>10</v>
      </c>
      <c r="F466" s="2">
        <v>10</v>
      </c>
      <c r="G466" s="2">
        <v>65.95</v>
      </c>
      <c r="H466" s="5">
        <v>659.5</v>
      </c>
    </row>
    <row r="467" spans="1:8" x14ac:dyDescent="0.25">
      <c r="A467" s="4">
        <v>1466</v>
      </c>
      <c r="B467" s="3">
        <v>45437</v>
      </c>
      <c r="C467" s="2" t="s">
        <v>17</v>
      </c>
      <c r="D467" s="2" t="s">
        <v>9</v>
      </c>
      <c r="E467" s="2" t="s">
        <v>21</v>
      </c>
      <c r="F467" s="2">
        <v>10</v>
      </c>
      <c r="G467" s="2">
        <v>817.57</v>
      </c>
      <c r="H467" s="5">
        <v>8175.7000000000007</v>
      </c>
    </row>
    <row r="468" spans="1:8" x14ac:dyDescent="0.25">
      <c r="A468" s="4">
        <v>1467</v>
      </c>
      <c r="B468" s="3">
        <v>45629</v>
      </c>
      <c r="C468" s="2" t="s">
        <v>17</v>
      </c>
      <c r="D468" s="2" t="s">
        <v>18</v>
      </c>
      <c r="E468" s="2" t="s">
        <v>21</v>
      </c>
      <c r="F468" s="2">
        <v>1</v>
      </c>
      <c r="G468" s="2">
        <v>228</v>
      </c>
      <c r="H468" s="5">
        <v>228</v>
      </c>
    </row>
    <row r="469" spans="1:8" x14ac:dyDescent="0.25">
      <c r="A469" s="4">
        <v>1468</v>
      </c>
      <c r="B469" s="3">
        <v>45518</v>
      </c>
      <c r="C469" s="2" t="s">
        <v>8</v>
      </c>
      <c r="D469" s="2" t="s">
        <v>9</v>
      </c>
      <c r="E469" s="2" t="s">
        <v>12</v>
      </c>
      <c r="F469" s="2">
        <v>19</v>
      </c>
      <c r="G469" s="2">
        <v>1170.6400000000001</v>
      </c>
      <c r="H469" s="5">
        <v>22242.16</v>
      </c>
    </row>
    <row r="470" spans="1:8" x14ac:dyDescent="0.25">
      <c r="A470" s="4">
        <v>1469</v>
      </c>
      <c r="B470" s="3">
        <v>45621</v>
      </c>
      <c r="C470" s="2" t="s">
        <v>17</v>
      </c>
      <c r="D470" s="2" t="s">
        <v>15</v>
      </c>
      <c r="E470" s="2" t="s">
        <v>14</v>
      </c>
      <c r="F470" s="2">
        <v>4</v>
      </c>
      <c r="G470" s="2">
        <v>957.57</v>
      </c>
      <c r="H470" s="5">
        <v>3830.28</v>
      </c>
    </row>
    <row r="471" spans="1:8" x14ac:dyDescent="0.25">
      <c r="A471" s="4">
        <v>1470</v>
      </c>
      <c r="B471" s="3">
        <v>45500</v>
      </c>
      <c r="C471" s="2" t="s">
        <v>19</v>
      </c>
      <c r="D471" s="2" t="s">
        <v>9</v>
      </c>
      <c r="E471" s="2" t="s">
        <v>12</v>
      </c>
      <c r="F471" s="2">
        <v>10</v>
      </c>
      <c r="G471" s="2">
        <v>162.62</v>
      </c>
      <c r="H471" s="5">
        <v>1626.2</v>
      </c>
    </row>
    <row r="472" spans="1:8" x14ac:dyDescent="0.25">
      <c r="A472" s="4">
        <v>1471</v>
      </c>
      <c r="B472" s="3">
        <v>45523</v>
      </c>
      <c r="C472" s="2" t="s">
        <v>17</v>
      </c>
      <c r="D472" s="2" t="s">
        <v>9</v>
      </c>
      <c r="E472" s="2" t="s">
        <v>14</v>
      </c>
      <c r="F472" s="2">
        <v>9</v>
      </c>
      <c r="G472" s="2">
        <v>1410.97</v>
      </c>
      <c r="H472" s="5">
        <v>12698.73</v>
      </c>
    </row>
    <row r="473" spans="1:8" x14ac:dyDescent="0.25">
      <c r="A473" s="4">
        <v>1472</v>
      </c>
      <c r="B473" s="3">
        <v>45519</v>
      </c>
      <c r="C473" s="2" t="s">
        <v>17</v>
      </c>
      <c r="D473" s="2" t="s">
        <v>20</v>
      </c>
      <c r="E473" s="2" t="s">
        <v>14</v>
      </c>
      <c r="F473" s="2">
        <v>12</v>
      </c>
      <c r="G473" s="2">
        <v>155.72</v>
      </c>
      <c r="H473" s="5">
        <v>1868.64</v>
      </c>
    </row>
    <row r="474" spans="1:8" x14ac:dyDescent="0.25">
      <c r="A474" s="4">
        <v>1473</v>
      </c>
      <c r="B474" s="3">
        <v>45426</v>
      </c>
      <c r="C474" s="2" t="s">
        <v>19</v>
      </c>
      <c r="D474" s="2" t="s">
        <v>15</v>
      </c>
      <c r="E474" s="2" t="s">
        <v>10</v>
      </c>
      <c r="F474" s="2">
        <v>7</v>
      </c>
      <c r="G474" s="2">
        <v>466.87</v>
      </c>
      <c r="H474" s="5">
        <v>3268.09</v>
      </c>
    </row>
    <row r="475" spans="1:8" x14ac:dyDescent="0.25">
      <c r="A475" s="4">
        <v>1474</v>
      </c>
      <c r="B475" s="3">
        <v>45434</v>
      </c>
      <c r="C475" s="2" t="s">
        <v>17</v>
      </c>
      <c r="D475" s="2" t="s">
        <v>18</v>
      </c>
      <c r="E475" s="2" t="s">
        <v>14</v>
      </c>
      <c r="F475" s="2">
        <v>6</v>
      </c>
      <c r="G475" s="2">
        <v>362.81</v>
      </c>
      <c r="H475" s="5">
        <v>2176.86</v>
      </c>
    </row>
    <row r="476" spans="1:8" x14ac:dyDescent="0.25">
      <c r="A476" s="4">
        <v>1475</v>
      </c>
      <c r="B476" s="3">
        <v>45293</v>
      </c>
      <c r="C476" s="2" t="s">
        <v>13</v>
      </c>
      <c r="D476" s="2" t="s">
        <v>15</v>
      </c>
      <c r="E476" s="2" t="s">
        <v>14</v>
      </c>
      <c r="F476" s="2">
        <v>10</v>
      </c>
      <c r="G476" s="2">
        <v>1414.59</v>
      </c>
      <c r="H476" s="5">
        <v>14145.9</v>
      </c>
    </row>
    <row r="477" spans="1:8" x14ac:dyDescent="0.25">
      <c r="A477" s="4">
        <v>1476</v>
      </c>
      <c r="B477" s="3">
        <v>45314</v>
      </c>
      <c r="C477" s="2" t="s">
        <v>11</v>
      </c>
      <c r="D477" s="2" t="s">
        <v>15</v>
      </c>
      <c r="E477" s="2" t="s">
        <v>21</v>
      </c>
      <c r="F477" s="2">
        <v>6</v>
      </c>
      <c r="G477" s="2">
        <v>1056.52</v>
      </c>
      <c r="H477" s="5">
        <v>6339.12</v>
      </c>
    </row>
    <row r="478" spans="1:8" x14ac:dyDescent="0.25">
      <c r="A478" s="4">
        <v>1477</v>
      </c>
      <c r="B478" s="3">
        <v>45443</v>
      </c>
      <c r="C478" s="2" t="s">
        <v>8</v>
      </c>
      <c r="D478" s="2" t="s">
        <v>9</v>
      </c>
      <c r="E478" s="2" t="s">
        <v>21</v>
      </c>
      <c r="F478" s="2">
        <v>3</v>
      </c>
      <c r="G478" s="2">
        <v>1243.8699999999999</v>
      </c>
      <c r="H478" s="5">
        <v>3731.61</v>
      </c>
    </row>
    <row r="479" spans="1:8" x14ac:dyDescent="0.25">
      <c r="A479" s="4">
        <v>1478</v>
      </c>
      <c r="B479" s="3">
        <v>45429</v>
      </c>
      <c r="C479" s="2" t="s">
        <v>11</v>
      </c>
      <c r="D479" s="2" t="s">
        <v>18</v>
      </c>
      <c r="E479" s="2" t="s">
        <v>12</v>
      </c>
      <c r="F479" s="2">
        <v>9</v>
      </c>
      <c r="G479" s="2">
        <v>301.42</v>
      </c>
      <c r="H479" s="5">
        <v>2712.78</v>
      </c>
    </row>
    <row r="480" spans="1:8" x14ac:dyDescent="0.25">
      <c r="A480" s="4">
        <v>1479</v>
      </c>
      <c r="B480" s="3">
        <v>45634</v>
      </c>
      <c r="C480" s="2" t="s">
        <v>13</v>
      </c>
      <c r="D480" s="2" t="s">
        <v>20</v>
      </c>
      <c r="E480" s="2" t="s">
        <v>21</v>
      </c>
      <c r="F480" s="2">
        <v>2</v>
      </c>
      <c r="G480" s="2">
        <v>1091.8699999999999</v>
      </c>
      <c r="H480" s="5">
        <v>2183.7399999999998</v>
      </c>
    </row>
    <row r="481" spans="1:8" x14ac:dyDescent="0.25">
      <c r="A481" s="4">
        <v>1480</v>
      </c>
      <c r="B481" s="3">
        <v>45430</v>
      </c>
      <c r="C481" s="2" t="s">
        <v>17</v>
      </c>
      <c r="D481" s="2" t="s">
        <v>15</v>
      </c>
      <c r="E481" s="2" t="s">
        <v>12</v>
      </c>
      <c r="F481" s="2">
        <v>13</v>
      </c>
      <c r="G481" s="2">
        <v>1089.52</v>
      </c>
      <c r="H481" s="5">
        <v>14163.76</v>
      </c>
    </row>
    <row r="482" spans="1:8" x14ac:dyDescent="0.25">
      <c r="A482" s="4">
        <v>1481</v>
      </c>
      <c r="B482" s="3">
        <v>45550</v>
      </c>
      <c r="C482" s="2" t="s">
        <v>19</v>
      </c>
      <c r="D482" s="2" t="s">
        <v>20</v>
      </c>
      <c r="E482" s="2" t="s">
        <v>16</v>
      </c>
      <c r="F482" s="2">
        <v>6</v>
      </c>
      <c r="G482" s="2">
        <v>536.35</v>
      </c>
      <c r="H482" s="5">
        <v>3218.1</v>
      </c>
    </row>
    <row r="483" spans="1:8" x14ac:dyDescent="0.25">
      <c r="A483" s="4">
        <v>1482</v>
      </c>
      <c r="B483" s="3">
        <v>45325</v>
      </c>
      <c r="C483" s="2" t="s">
        <v>8</v>
      </c>
      <c r="D483" s="2" t="s">
        <v>20</v>
      </c>
      <c r="E483" s="2" t="s">
        <v>14</v>
      </c>
      <c r="F483" s="2">
        <v>12</v>
      </c>
      <c r="G483" s="2">
        <v>1157.5899999999999</v>
      </c>
      <c r="H483" s="5">
        <v>13891.08</v>
      </c>
    </row>
    <row r="484" spans="1:8" x14ac:dyDescent="0.25">
      <c r="A484" s="4">
        <v>1483</v>
      </c>
      <c r="B484" s="3">
        <v>45485</v>
      </c>
      <c r="C484" s="2" t="s">
        <v>19</v>
      </c>
      <c r="D484" s="2" t="s">
        <v>9</v>
      </c>
      <c r="E484" s="2" t="s">
        <v>21</v>
      </c>
      <c r="F484" s="2">
        <v>9</v>
      </c>
      <c r="G484" s="2">
        <v>1469.13</v>
      </c>
      <c r="H484" s="5">
        <v>13222.17</v>
      </c>
    </row>
    <row r="485" spans="1:8" x14ac:dyDescent="0.25">
      <c r="A485" s="4">
        <v>1484</v>
      </c>
      <c r="B485" s="3">
        <v>45352</v>
      </c>
      <c r="C485" s="2" t="s">
        <v>13</v>
      </c>
      <c r="D485" s="2" t="s">
        <v>20</v>
      </c>
      <c r="E485" s="2" t="s">
        <v>14</v>
      </c>
      <c r="F485" s="2">
        <v>4</v>
      </c>
      <c r="G485" s="2">
        <v>1395.66</v>
      </c>
      <c r="H485" s="5">
        <v>5582.64</v>
      </c>
    </row>
    <row r="486" spans="1:8" x14ac:dyDescent="0.25">
      <c r="A486" s="4">
        <v>1485</v>
      </c>
      <c r="B486" s="3">
        <v>45483</v>
      </c>
      <c r="C486" s="2" t="s">
        <v>17</v>
      </c>
      <c r="D486" s="2" t="s">
        <v>9</v>
      </c>
      <c r="E486" s="2" t="s">
        <v>10</v>
      </c>
      <c r="F486" s="2">
        <v>19</v>
      </c>
      <c r="G486" s="2">
        <v>1170.3</v>
      </c>
      <c r="H486" s="5">
        <v>22235.7</v>
      </c>
    </row>
    <row r="487" spans="1:8" x14ac:dyDescent="0.25">
      <c r="A487" s="4">
        <v>1486</v>
      </c>
      <c r="B487" s="3">
        <v>45477</v>
      </c>
      <c r="C487" s="2" t="s">
        <v>19</v>
      </c>
      <c r="D487" s="2" t="s">
        <v>20</v>
      </c>
      <c r="E487" s="2" t="s">
        <v>14</v>
      </c>
      <c r="F487" s="2">
        <v>14</v>
      </c>
      <c r="G487" s="2">
        <v>137.41</v>
      </c>
      <c r="H487" s="5">
        <v>1923.74</v>
      </c>
    </row>
    <row r="488" spans="1:8" x14ac:dyDescent="0.25">
      <c r="A488" s="4">
        <v>1487</v>
      </c>
      <c r="B488" s="3">
        <v>45441</v>
      </c>
      <c r="C488" s="2" t="s">
        <v>13</v>
      </c>
      <c r="D488" s="2" t="s">
        <v>15</v>
      </c>
      <c r="E488" s="2" t="s">
        <v>21</v>
      </c>
      <c r="F488" s="2">
        <v>8</v>
      </c>
      <c r="G488" s="2">
        <v>943.53</v>
      </c>
      <c r="H488" s="5">
        <v>7548.24</v>
      </c>
    </row>
    <row r="489" spans="1:8" x14ac:dyDescent="0.25">
      <c r="A489" s="4">
        <v>1488</v>
      </c>
      <c r="B489" s="3">
        <v>45535</v>
      </c>
      <c r="C489" s="2" t="s">
        <v>8</v>
      </c>
      <c r="D489" s="2" t="s">
        <v>18</v>
      </c>
      <c r="E489" s="2" t="s">
        <v>16</v>
      </c>
      <c r="F489" s="2">
        <v>19</v>
      </c>
      <c r="G489" s="2">
        <v>51.31</v>
      </c>
      <c r="H489" s="5">
        <v>974.8900000000001</v>
      </c>
    </row>
    <row r="490" spans="1:8" x14ac:dyDescent="0.25">
      <c r="A490" s="4">
        <v>1489</v>
      </c>
      <c r="B490" s="3">
        <v>45551</v>
      </c>
      <c r="C490" s="2" t="s">
        <v>13</v>
      </c>
      <c r="D490" s="2" t="s">
        <v>9</v>
      </c>
      <c r="E490" s="2" t="s">
        <v>12</v>
      </c>
      <c r="F490" s="2">
        <v>18</v>
      </c>
      <c r="G490" s="2">
        <v>1184.42</v>
      </c>
      <c r="H490" s="5">
        <v>21319.56</v>
      </c>
    </row>
    <row r="491" spans="1:8" x14ac:dyDescent="0.25">
      <c r="A491" s="4">
        <v>1490</v>
      </c>
      <c r="B491" s="3">
        <v>45419</v>
      </c>
      <c r="C491" s="2" t="s">
        <v>17</v>
      </c>
      <c r="D491" s="2" t="s">
        <v>15</v>
      </c>
      <c r="E491" s="2" t="s">
        <v>21</v>
      </c>
      <c r="F491" s="2">
        <v>10</v>
      </c>
      <c r="G491" s="2">
        <v>88.69</v>
      </c>
      <c r="H491" s="5">
        <v>886.9</v>
      </c>
    </row>
    <row r="492" spans="1:8" x14ac:dyDescent="0.25">
      <c r="A492" s="4">
        <v>1491</v>
      </c>
      <c r="B492" s="3">
        <v>45459</v>
      </c>
      <c r="C492" s="2" t="s">
        <v>19</v>
      </c>
      <c r="D492" s="2" t="s">
        <v>18</v>
      </c>
      <c r="E492" s="2" t="s">
        <v>16</v>
      </c>
      <c r="F492" s="2">
        <v>5</v>
      </c>
      <c r="G492" s="2">
        <v>1464.55</v>
      </c>
      <c r="H492" s="5">
        <v>7322.75</v>
      </c>
    </row>
    <row r="493" spans="1:8" x14ac:dyDescent="0.25">
      <c r="A493" s="4">
        <v>1492</v>
      </c>
      <c r="B493" s="3">
        <v>45546</v>
      </c>
      <c r="C493" s="2" t="s">
        <v>13</v>
      </c>
      <c r="D493" s="2" t="s">
        <v>20</v>
      </c>
      <c r="E493" s="2" t="s">
        <v>10</v>
      </c>
      <c r="F493" s="2">
        <v>11</v>
      </c>
      <c r="G493" s="2">
        <v>498.49</v>
      </c>
      <c r="H493" s="5">
        <v>5483.39</v>
      </c>
    </row>
    <row r="494" spans="1:8" x14ac:dyDescent="0.25">
      <c r="A494" s="4">
        <v>1493</v>
      </c>
      <c r="B494" s="3">
        <v>45427</v>
      </c>
      <c r="C494" s="2" t="s">
        <v>11</v>
      </c>
      <c r="D494" s="2" t="s">
        <v>18</v>
      </c>
      <c r="E494" s="2" t="s">
        <v>14</v>
      </c>
      <c r="F494" s="2">
        <v>2</v>
      </c>
      <c r="G494" s="2">
        <v>967.97</v>
      </c>
      <c r="H494" s="5">
        <v>1935.94</v>
      </c>
    </row>
    <row r="495" spans="1:8" x14ac:dyDescent="0.25">
      <c r="A495" s="4">
        <v>1494</v>
      </c>
      <c r="B495" s="3">
        <v>45433</v>
      </c>
      <c r="C495" s="2" t="s">
        <v>17</v>
      </c>
      <c r="D495" s="2" t="s">
        <v>18</v>
      </c>
      <c r="E495" s="2" t="s">
        <v>14</v>
      </c>
      <c r="F495" s="2">
        <v>14</v>
      </c>
      <c r="G495" s="2">
        <v>878.77</v>
      </c>
      <c r="H495" s="5">
        <v>12302.78</v>
      </c>
    </row>
    <row r="496" spans="1:8" x14ac:dyDescent="0.25">
      <c r="A496" s="4">
        <v>1495</v>
      </c>
      <c r="B496" s="3">
        <v>45371</v>
      </c>
      <c r="C496" s="2" t="s">
        <v>17</v>
      </c>
      <c r="D496" s="2" t="s">
        <v>20</v>
      </c>
      <c r="E496" s="2" t="s">
        <v>16</v>
      </c>
      <c r="F496" s="2">
        <v>3</v>
      </c>
      <c r="G496" s="2">
        <v>1086.28</v>
      </c>
      <c r="H496" s="5">
        <v>3258.84</v>
      </c>
    </row>
    <row r="497" spans="1:8" x14ac:dyDescent="0.25">
      <c r="A497" s="4">
        <v>1496</v>
      </c>
      <c r="B497" s="3">
        <v>45444</v>
      </c>
      <c r="C497" s="2" t="s">
        <v>8</v>
      </c>
      <c r="D497" s="2" t="s">
        <v>18</v>
      </c>
      <c r="E497" s="2" t="s">
        <v>14</v>
      </c>
      <c r="F497" s="2">
        <v>9</v>
      </c>
      <c r="G497" s="2">
        <v>497.47</v>
      </c>
      <c r="H497" s="5">
        <v>4477.2299999999996</v>
      </c>
    </row>
    <row r="498" spans="1:8" x14ac:dyDescent="0.25">
      <c r="A498" s="4">
        <v>1497</v>
      </c>
      <c r="B498" s="3">
        <v>45636</v>
      </c>
      <c r="C498" s="2" t="s">
        <v>8</v>
      </c>
      <c r="D498" s="2" t="s">
        <v>15</v>
      </c>
      <c r="E498" s="2" t="s">
        <v>14</v>
      </c>
      <c r="F498" s="2">
        <v>13</v>
      </c>
      <c r="G498" s="2">
        <v>782.25</v>
      </c>
      <c r="H498" s="5">
        <v>10169.25</v>
      </c>
    </row>
    <row r="499" spans="1:8" x14ac:dyDescent="0.25">
      <c r="A499" s="4">
        <v>1498</v>
      </c>
      <c r="B499" s="3">
        <v>45620</v>
      </c>
      <c r="C499" s="2" t="s">
        <v>13</v>
      </c>
      <c r="D499" s="2" t="s">
        <v>9</v>
      </c>
      <c r="E499" s="2" t="s">
        <v>10</v>
      </c>
      <c r="F499" s="2">
        <v>4</v>
      </c>
      <c r="G499" s="2">
        <v>1051.2</v>
      </c>
      <c r="H499" s="5">
        <v>4204.8</v>
      </c>
    </row>
    <row r="500" spans="1:8" x14ac:dyDescent="0.25">
      <c r="A500" s="4">
        <v>1499</v>
      </c>
      <c r="B500" s="3">
        <v>45599</v>
      </c>
      <c r="C500" s="2" t="s">
        <v>8</v>
      </c>
      <c r="D500" s="2" t="s">
        <v>15</v>
      </c>
      <c r="E500" s="2" t="s">
        <v>14</v>
      </c>
      <c r="F500" s="2">
        <v>18</v>
      </c>
      <c r="G500" s="2">
        <v>517.07000000000005</v>
      </c>
      <c r="H500" s="5">
        <v>9307.26</v>
      </c>
    </row>
    <row r="501" spans="1:8" x14ac:dyDescent="0.25">
      <c r="A501" s="4">
        <v>1500</v>
      </c>
      <c r="B501" s="3">
        <v>45651</v>
      </c>
      <c r="C501" s="2" t="s">
        <v>8</v>
      </c>
      <c r="D501" s="2" t="s">
        <v>9</v>
      </c>
      <c r="E501" s="2" t="s">
        <v>12</v>
      </c>
      <c r="F501" s="2">
        <v>19</v>
      </c>
      <c r="G501" s="2">
        <v>1172.78</v>
      </c>
      <c r="H501" s="5">
        <v>22282.82</v>
      </c>
    </row>
    <row r="502" spans="1:8" x14ac:dyDescent="0.25">
      <c r="A502" s="4">
        <v>1501</v>
      </c>
      <c r="B502" s="3">
        <v>45628</v>
      </c>
      <c r="C502" s="2" t="s">
        <v>8</v>
      </c>
      <c r="D502" s="2" t="s">
        <v>20</v>
      </c>
      <c r="E502" s="2" t="s">
        <v>10</v>
      </c>
      <c r="F502" s="2">
        <v>1</v>
      </c>
      <c r="G502" s="2">
        <v>698.02</v>
      </c>
      <c r="H502" s="5">
        <v>698.02</v>
      </c>
    </row>
    <row r="503" spans="1:8" x14ac:dyDescent="0.25">
      <c r="A503" s="4">
        <v>1502</v>
      </c>
      <c r="B503" s="3">
        <v>45334</v>
      </c>
      <c r="C503" s="2" t="s">
        <v>19</v>
      </c>
      <c r="D503" s="2" t="s">
        <v>15</v>
      </c>
      <c r="E503" s="2" t="s">
        <v>14</v>
      </c>
      <c r="F503" s="2">
        <v>9</v>
      </c>
      <c r="G503" s="2">
        <v>1454.47</v>
      </c>
      <c r="H503" s="5">
        <v>13090.23</v>
      </c>
    </row>
    <row r="504" spans="1:8" x14ac:dyDescent="0.25">
      <c r="A504" s="4">
        <v>1503</v>
      </c>
      <c r="B504" s="3">
        <v>45350</v>
      </c>
      <c r="C504" s="2" t="s">
        <v>17</v>
      </c>
      <c r="D504" s="2" t="s">
        <v>9</v>
      </c>
      <c r="E504" s="2" t="s">
        <v>16</v>
      </c>
      <c r="F504" s="2">
        <v>5</v>
      </c>
      <c r="G504" s="2">
        <v>124.07</v>
      </c>
      <c r="H504" s="5">
        <v>620.34999999999991</v>
      </c>
    </row>
    <row r="505" spans="1:8" x14ac:dyDescent="0.25">
      <c r="A505" s="4">
        <v>1504</v>
      </c>
      <c r="B505" s="3">
        <v>45493</v>
      </c>
      <c r="C505" s="2" t="s">
        <v>19</v>
      </c>
      <c r="D505" s="2" t="s">
        <v>20</v>
      </c>
      <c r="E505" s="2" t="s">
        <v>12</v>
      </c>
      <c r="F505" s="2">
        <v>9</v>
      </c>
      <c r="G505" s="2">
        <v>104.82</v>
      </c>
      <c r="H505" s="5">
        <v>943.37999999999988</v>
      </c>
    </row>
    <row r="506" spans="1:8" x14ac:dyDescent="0.25">
      <c r="A506" s="4">
        <v>1505</v>
      </c>
      <c r="B506" s="3">
        <v>45570</v>
      </c>
      <c r="C506" s="2" t="s">
        <v>8</v>
      </c>
      <c r="D506" s="2" t="s">
        <v>18</v>
      </c>
      <c r="E506" s="2" t="s">
        <v>12</v>
      </c>
      <c r="F506" s="2">
        <v>15</v>
      </c>
      <c r="G506" s="2">
        <v>1435.93</v>
      </c>
      <c r="H506" s="5">
        <v>21538.95</v>
      </c>
    </row>
    <row r="507" spans="1:8" x14ac:dyDescent="0.25">
      <c r="A507" s="4">
        <v>1506</v>
      </c>
      <c r="B507" s="3">
        <v>45466</v>
      </c>
      <c r="C507" s="2" t="s">
        <v>17</v>
      </c>
      <c r="D507" s="2" t="s">
        <v>15</v>
      </c>
      <c r="E507" s="2" t="s">
        <v>12</v>
      </c>
      <c r="F507" s="2">
        <v>11</v>
      </c>
      <c r="G507" s="2">
        <v>59.27</v>
      </c>
      <c r="H507" s="5">
        <v>651.97</v>
      </c>
    </row>
    <row r="508" spans="1:8" x14ac:dyDescent="0.25">
      <c r="A508" s="4">
        <v>1507</v>
      </c>
      <c r="B508" s="3">
        <v>45540</v>
      </c>
      <c r="C508" s="2" t="s">
        <v>19</v>
      </c>
      <c r="D508" s="2" t="s">
        <v>18</v>
      </c>
      <c r="E508" s="2" t="s">
        <v>14</v>
      </c>
      <c r="F508" s="2">
        <v>10</v>
      </c>
      <c r="G508" s="2">
        <v>1411.2</v>
      </c>
      <c r="H508" s="5">
        <v>14112</v>
      </c>
    </row>
    <row r="509" spans="1:8" x14ac:dyDescent="0.25">
      <c r="A509" s="4">
        <v>1508</v>
      </c>
      <c r="B509" s="3">
        <v>45468</v>
      </c>
      <c r="C509" s="2" t="s">
        <v>11</v>
      </c>
      <c r="D509" s="2" t="s">
        <v>9</v>
      </c>
      <c r="E509" s="2" t="s">
        <v>12</v>
      </c>
      <c r="F509" s="2">
        <v>10</v>
      </c>
      <c r="G509" s="2">
        <v>1063.77</v>
      </c>
      <c r="H509" s="5">
        <v>10637.7</v>
      </c>
    </row>
    <row r="510" spans="1:8" x14ac:dyDescent="0.25">
      <c r="A510" s="4">
        <v>1509</v>
      </c>
      <c r="B510" s="3">
        <v>45374</v>
      </c>
      <c r="C510" s="2" t="s">
        <v>8</v>
      </c>
      <c r="D510" s="2" t="s">
        <v>20</v>
      </c>
      <c r="E510" s="2" t="s">
        <v>14</v>
      </c>
      <c r="F510" s="2">
        <v>11</v>
      </c>
      <c r="G510" s="2">
        <v>97.09</v>
      </c>
      <c r="H510" s="5">
        <v>1067.99</v>
      </c>
    </row>
    <row r="511" spans="1:8" x14ac:dyDescent="0.25">
      <c r="A511" s="4">
        <v>1510</v>
      </c>
      <c r="B511" s="3">
        <v>45490</v>
      </c>
      <c r="C511" s="2" t="s">
        <v>19</v>
      </c>
      <c r="D511" s="2" t="s">
        <v>9</v>
      </c>
      <c r="E511" s="2" t="s">
        <v>10</v>
      </c>
      <c r="F511" s="2">
        <v>18</v>
      </c>
      <c r="G511" s="2">
        <v>774.9</v>
      </c>
      <c r="H511" s="5">
        <v>13948.2</v>
      </c>
    </row>
    <row r="512" spans="1:8" x14ac:dyDescent="0.25">
      <c r="A512" s="4">
        <v>1511</v>
      </c>
      <c r="B512" s="3">
        <v>45315</v>
      </c>
      <c r="C512" s="2" t="s">
        <v>17</v>
      </c>
      <c r="D512" s="2" t="s">
        <v>15</v>
      </c>
      <c r="E512" s="2" t="s">
        <v>10</v>
      </c>
      <c r="F512" s="2">
        <v>10</v>
      </c>
      <c r="G512" s="2">
        <v>1432.64</v>
      </c>
      <c r="H512" s="5">
        <v>14326.4</v>
      </c>
    </row>
    <row r="513" spans="1:8" x14ac:dyDescent="0.25">
      <c r="A513" s="4">
        <v>1512</v>
      </c>
      <c r="B513" s="3">
        <v>45464</v>
      </c>
      <c r="C513" s="2" t="s">
        <v>13</v>
      </c>
      <c r="D513" s="2" t="s">
        <v>20</v>
      </c>
      <c r="E513" s="2" t="s">
        <v>16</v>
      </c>
      <c r="F513" s="2">
        <v>14</v>
      </c>
      <c r="G513" s="2">
        <v>758.12</v>
      </c>
      <c r="H513" s="5">
        <v>10613.68</v>
      </c>
    </row>
    <row r="514" spans="1:8" x14ac:dyDescent="0.25">
      <c r="A514" s="4">
        <v>1513</v>
      </c>
      <c r="B514" s="3">
        <v>45621</v>
      </c>
      <c r="C514" s="2" t="s">
        <v>13</v>
      </c>
      <c r="D514" s="2" t="s">
        <v>20</v>
      </c>
      <c r="E514" s="2" t="s">
        <v>14</v>
      </c>
      <c r="F514" s="2">
        <v>7</v>
      </c>
      <c r="G514" s="2">
        <v>389.76</v>
      </c>
      <c r="H514" s="5">
        <v>2728.32</v>
      </c>
    </row>
    <row r="515" spans="1:8" x14ac:dyDescent="0.25">
      <c r="A515" s="4">
        <v>1514</v>
      </c>
      <c r="B515" s="3">
        <v>45450</v>
      </c>
      <c r="C515" s="2" t="s">
        <v>8</v>
      </c>
      <c r="D515" s="2" t="s">
        <v>18</v>
      </c>
      <c r="E515" s="2" t="s">
        <v>14</v>
      </c>
      <c r="F515" s="2">
        <v>9</v>
      </c>
      <c r="G515" s="2">
        <v>1013.04</v>
      </c>
      <c r="H515" s="5">
        <v>9117.36</v>
      </c>
    </row>
    <row r="516" spans="1:8" x14ac:dyDescent="0.25">
      <c r="A516" s="4">
        <v>1515</v>
      </c>
      <c r="B516" s="3">
        <v>45581</v>
      </c>
      <c r="C516" s="2" t="s">
        <v>11</v>
      </c>
      <c r="D516" s="2" t="s">
        <v>15</v>
      </c>
      <c r="E516" s="2" t="s">
        <v>10</v>
      </c>
      <c r="F516" s="2">
        <v>5</v>
      </c>
      <c r="G516" s="2">
        <v>1236.49</v>
      </c>
      <c r="H516" s="5">
        <v>6182.45</v>
      </c>
    </row>
    <row r="517" spans="1:8" x14ac:dyDescent="0.25">
      <c r="A517" s="4">
        <v>1516</v>
      </c>
      <c r="B517" s="3">
        <v>45552</v>
      </c>
      <c r="C517" s="2" t="s">
        <v>8</v>
      </c>
      <c r="D517" s="2" t="s">
        <v>15</v>
      </c>
      <c r="E517" s="2" t="s">
        <v>14</v>
      </c>
      <c r="F517" s="2">
        <v>1</v>
      </c>
      <c r="G517" s="2">
        <v>1244.27</v>
      </c>
      <c r="H517" s="5">
        <v>1244.27</v>
      </c>
    </row>
    <row r="518" spans="1:8" x14ac:dyDescent="0.25">
      <c r="A518" s="4">
        <v>1517</v>
      </c>
      <c r="B518" s="3">
        <v>45325</v>
      </c>
      <c r="C518" s="2" t="s">
        <v>11</v>
      </c>
      <c r="D518" s="2" t="s">
        <v>9</v>
      </c>
      <c r="E518" s="2" t="s">
        <v>21</v>
      </c>
      <c r="F518" s="2">
        <v>18</v>
      </c>
      <c r="G518" s="2">
        <v>677.67</v>
      </c>
      <c r="H518" s="5">
        <v>12198.06</v>
      </c>
    </row>
    <row r="519" spans="1:8" x14ac:dyDescent="0.25">
      <c r="A519" s="4">
        <v>1518</v>
      </c>
      <c r="B519" s="3">
        <v>45451</v>
      </c>
      <c r="C519" s="2" t="s">
        <v>11</v>
      </c>
      <c r="D519" s="2" t="s">
        <v>20</v>
      </c>
      <c r="E519" s="2" t="s">
        <v>14</v>
      </c>
      <c r="F519" s="2">
        <v>8</v>
      </c>
      <c r="G519" s="2">
        <v>117.51</v>
      </c>
      <c r="H519" s="5">
        <v>940.08</v>
      </c>
    </row>
    <row r="520" spans="1:8" x14ac:dyDescent="0.25">
      <c r="A520" s="4">
        <v>1519</v>
      </c>
      <c r="B520" s="3">
        <v>45514</v>
      </c>
      <c r="C520" s="2" t="s">
        <v>13</v>
      </c>
      <c r="D520" s="2" t="s">
        <v>18</v>
      </c>
      <c r="E520" s="2" t="s">
        <v>21</v>
      </c>
      <c r="F520" s="2">
        <v>9</v>
      </c>
      <c r="G520" s="2">
        <v>564.29</v>
      </c>
      <c r="H520" s="5">
        <v>5078.6099999999997</v>
      </c>
    </row>
    <row r="521" spans="1:8" x14ac:dyDescent="0.25">
      <c r="A521" s="4">
        <v>1520</v>
      </c>
      <c r="B521" s="3">
        <v>45437</v>
      </c>
      <c r="C521" s="2" t="s">
        <v>13</v>
      </c>
      <c r="D521" s="2" t="s">
        <v>15</v>
      </c>
      <c r="E521" s="2" t="s">
        <v>12</v>
      </c>
      <c r="F521" s="2">
        <v>2</v>
      </c>
      <c r="G521" s="2">
        <v>372.58</v>
      </c>
      <c r="H521" s="5">
        <v>745.16</v>
      </c>
    </row>
    <row r="522" spans="1:8" x14ac:dyDescent="0.25">
      <c r="A522" s="4">
        <v>1521</v>
      </c>
      <c r="B522" s="3">
        <v>45428</v>
      </c>
      <c r="C522" s="2" t="s">
        <v>11</v>
      </c>
      <c r="D522" s="2" t="s">
        <v>15</v>
      </c>
      <c r="E522" s="2" t="s">
        <v>12</v>
      </c>
      <c r="F522" s="2">
        <v>1</v>
      </c>
      <c r="G522" s="2">
        <v>131.84</v>
      </c>
      <c r="H522" s="5">
        <v>131.84</v>
      </c>
    </row>
    <row r="523" spans="1:8" x14ac:dyDescent="0.25">
      <c r="A523" s="4">
        <v>1522</v>
      </c>
      <c r="B523" s="3">
        <v>45577</v>
      </c>
      <c r="C523" s="2" t="s">
        <v>19</v>
      </c>
      <c r="D523" s="2" t="s">
        <v>18</v>
      </c>
      <c r="E523" s="2" t="s">
        <v>10</v>
      </c>
      <c r="F523" s="2">
        <v>5</v>
      </c>
      <c r="G523" s="2">
        <v>1092.82</v>
      </c>
      <c r="H523" s="5">
        <v>5464.0999999999995</v>
      </c>
    </row>
    <row r="524" spans="1:8" x14ac:dyDescent="0.25">
      <c r="A524" s="4">
        <v>1523</v>
      </c>
      <c r="B524" s="3">
        <v>45489</v>
      </c>
      <c r="C524" s="2" t="s">
        <v>17</v>
      </c>
      <c r="D524" s="2" t="s">
        <v>20</v>
      </c>
      <c r="E524" s="2" t="s">
        <v>14</v>
      </c>
      <c r="F524" s="2">
        <v>17</v>
      </c>
      <c r="G524" s="2">
        <v>1497.52</v>
      </c>
      <c r="H524" s="5">
        <v>25457.84</v>
      </c>
    </row>
    <row r="525" spans="1:8" x14ac:dyDescent="0.25">
      <c r="A525" s="4">
        <v>1524</v>
      </c>
      <c r="B525" s="3">
        <v>45555</v>
      </c>
      <c r="C525" s="2" t="s">
        <v>19</v>
      </c>
      <c r="D525" s="2" t="s">
        <v>15</v>
      </c>
      <c r="E525" s="2" t="s">
        <v>14</v>
      </c>
      <c r="F525" s="2">
        <v>14</v>
      </c>
      <c r="G525" s="2">
        <v>99.46</v>
      </c>
      <c r="H525" s="5">
        <v>1392.44</v>
      </c>
    </row>
    <row r="526" spans="1:8" x14ac:dyDescent="0.25">
      <c r="A526" s="4">
        <v>1525</v>
      </c>
      <c r="B526" s="3">
        <v>45593</v>
      </c>
      <c r="C526" s="2" t="s">
        <v>17</v>
      </c>
      <c r="D526" s="2" t="s">
        <v>9</v>
      </c>
      <c r="E526" s="2" t="s">
        <v>14</v>
      </c>
      <c r="F526" s="2">
        <v>14</v>
      </c>
      <c r="G526" s="2">
        <v>1069.3800000000001</v>
      </c>
      <c r="H526" s="5">
        <v>14971.32</v>
      </c>
    </row>
    <row r="527" spans="1:8" x14ac:dyDescent="0.25">
      <c r="A527" s="4">
        <v>1526</v>
      </c>
      <c r="B527" s="3">
        <v>45336</v>
      </c>
      <c r="C527" s="2" t="s">
        <v>11</v>
      </c>
      <c r="D527" s="2" t="s">
        <v>18</v>
      </c>
      <c r="E527" s="2" t="s">
        <v>21</v>
      </c>
      <c r="F527" s="2">
        <v>13</v>
      </c>
      <c r="G527" s="2">
        <v>1421.58</v>
      </c>
      <c r="H527" s="5">
        <v>18480.54</v>
      </c>
    </row>
    <row r="528" spans="1:8" x14ac:dyDescent="0.25">
      <c r="A528" s="4">
        <v>1527</v>
      </c>
      <c r="B528" s="3">
        <v>45557</v>
      </c>
      <c r="C528" s="2" t="s">
        <v>8</v>
      </c>
      <c r="D528" s="2" t="s">
        <v>15</v>
      </c>
      <c r="E528" s="2" t="s">
        <v>21</v>
      </c>
      <c r="F528" s="2">
        <v>9</v>
      </c>
      <c r="G528" s="2">
        <v>724.55</v>
      </c>
      <c r="H528" s="5">
        <v>6520.95</v>
      </c>
    </row>
    <row r="529" spans="1:8" x14ac:dyDescent="0.25">
      <c r="A529" s="4">
        <v>1528</v>
      </c>
      <c r="B529" s="3">
        <v>45383</v>
      </c>
      <c r="C529" s="2" t="s">
        <v>8</v>
      </c>
      <c r="D529" s="2" t="s">
        <v>18</v>
      </c>
      <c r="E529" s="2" t="s">
        <v>12</v>
      </c>
      <c r="F529" s="2">
        <v>5</v>
      </c>
      <c r="G529" s="2">
        <v>682.04</v>
      </c>
      <c r="H529" s="5">
        <v>3410.2</v>
      </c>
    </row>
    <row r="530" spans="1:8" x14ac:dyDescent="0.25">
      <c r="A530" s="4">
        <v>1529</v>
      </c>
      <c r="B530" s="3">
        <v>45484</v>
      </c>
      <c r="C530" s="2" t="s">
        <v>8</v>
      </c>
      <c r="D530" s="2" t="s">
        <v>9</v>
      </c>
      <c r="E530" s="2" t="s">
        <v>16</v>
      </c>
      <c r="F530" s="2">
        <v>14</v>
      </c>
      <c r="G530" s="2">
        <v>864.75</v>
      </c>
      <c r="H530" s="5">
        <v>12106.5</v>
      </c>
    </row>
    <row r="531" spans="1:8" x14ac:dyDescent="0.25">
      <c r="A531" s="4">
        <v>1530</v>
      </c>
      <c r="B531" s="3">
        <v>45519</v>
      </c>
      <c r="C531" s="2" t="s">
        <v>17</v>
      </c>
      <c r="D531" s="2" t="s">
        <v>18</v>
      </c>
      <c r="E531" s="2" t="s">
        <v>12</v>
      </c>
      <c r="F531" s="2">
        <v>18</v>
      </c>
      <c r="G531" s="2">
        <v>884.04</v>
      </c>
      <c r="H531" s="5">
        <v>15912.72</v>
      </c>
    </row>
    <row r="532" spans="1:8" x14ac:dyDescent="0.25">
      <c r="A532" s="4">
        <v>1531</v>
      </c>
      <c r="B532" s="3">
        <v>45350</v>
      </c>
      <c r="C532" s="2" t="s">
        <v>19</v>
      </c>
      <c r="D532" s="2" t="s">
        <v>9</v>
      </c>
      <c r="E532" s="2" t="s">
        <v>16</v>
      </c>
      <c r="F532" s="2">
        <v>15</v>
      </c>
      <c r="G532" s="2">
        <v>62.08</v>
      </c>
      <c r="H532" s="5">
        <v>931.19999999999993</v>
      </c>
    </row>
    <row r="533" spans="1:8" x14ac:dyDescent="0.25">
      <c r="A533" s="4">
        <v>1532</v>
      </c>
      <c r="B533" s="3">
        <v>45304</v>
      </c>
      <c r="C533" s="2" t="s">
        <v>19</v>
      </c>
      <c r="D533" s="2" t="s">
        <v>9</v>
      </c>
      <c r="E533" s="2" t="s">
        <v>10</v>
      </c>
      <c r="F533" s="2">
        <v>15</v>
      </c>
      <c r="G533" s="2">
        <v>83.41</v>
      </c>
      <c r="H533" s="5">
        <v>1251.1500000000001</v>
      </c>
    </row>
    <row r="534" spans="1:8" x14ac:dyDescent="0.25">
      <c r="A534" s="4">
        <v>1533</v>
      </c>
      <c r="B534" s="3">
        <v>45299</v>
      </c>
      <c r="C534" s="2" t="s">
        <v>13</v>
      </c>
      <c r="D534" s="2" t="s">
        <v>9</v>
      </c>
      <c r="E534" s="2" t="s">
        <v>14</v>
      </c>
      <c r="F534" s="2">
        <v>3</v>
      </c>
      <c r="G534" s="2">
        <v>840.87</v>
      </c>
      <c r="H534" s="5">
        <v>2522.61</v>
      </c>
    </row>
    <row r="535" spans="1:8" x14ac:dyDescent="0.25">
      <c r="A535" s="4">
        <v>1534</v>
      </c>
      <c r="B535" s="3">
        <v>45488</v>
      </c>
      <c r="C535" s="2" t="s">
        <v>11</v>
      </c>
      <c r="D535" s="2" t="s">
        <v>18</v>
      </c>
      <c r="E535" s="2" t="s">
        <v>12</v>
      </c>
      <c r="F535" s="2">
        <v>14</v>
      </c>
      <c r="G535" s="2">
        <v>791.39</v>
      </c>
      <c r="H535" s="5">
        <v>11079.46</v>
      </c>
    </row>
    <row r="536" spans="1:8" x14ac:dyDescent="0.25">
      <c r="A536" s="4">
        <v>1535</v>
      </c>
      <c r="B536" s="3">
        <v>45463</v>
      </c>
      <c r="C536" s="2" t="s">
        <v>8</v>
      </c>
      <c r="D536" s="2" t="s">
        <v>18</v>
      </c>
      <c r="E536" s="2" t="s">
        <v>21</v>
      </c>
      <c r="F536" s="2">
        <v>2</v>
      </c>
      <c r="G536" s="2">
        <v>988.7</v>
      </c>
      <c r="H536" s="5">
        <v>1977.4</v>
      </c>
    </row>
    <row r="537" spans="1:8" x14ac:dyDescent="0.25">
      <c r="A537" s="4">
        <v>1536</v>
      </c>
      <c r="B537" s="3">
        <v>45463</v>
      </c>
      <c r="C537" s="2" t="s">
        <v>11</v>
      </c>
      <c r="D537" s="2" t="s">
        <v>15</v>
      </c>
      <c r="E537" s="2" t="s">
        <v>10</v>
      </c>
      <c r="F537" s="2">
        <v>8</v>
      </c>
      <c r="G537" s="2">
        <v>577.38</v>
      </c>
      <c r="H537" s="5">
        <v>4619.04</v>
      </c>
    </row>
    <row r="538" spans="1:8" x14ac:dyDescent="0.25">
      <c r="A538" s="4">
        <v>1537</v>
      </c>
      <c r="B538" s="3">
        <v>45368</v>
      </c>
      <c r="C538" s="2" t="s">
        <v>8</v>
      </c>
      <c r="D538" s="2" t="s">
        <v>18</v>
      </c>
      <c r="E538" s="2" t="s">
        <v>14</v>
      </c>
      <c r="F538" s="2">
        <v>18</v>
      </c>
      <c r="G538" s="2">
        <v>435.65</v>
      </c>
      <c r="H538" s="5">
        <v>7841.7</v>
      </c>
    </row>
    <row r="539" spans="1:8" x14ac:dyDescent="0.25">
      <c r="A539" s="4">
        <v>1538</v>
      </c>
      <c r="B539" s="3">
        <v>45569</v>
      </c>
      <c r="C539" s="2" t="s">
        <v>8</v>
      </c>
      <c r="D539" s="2" t="s">
        <v>9</v>
      </c>
      <c r="E539" s="2" t="s">
        <v>12</v>
      </c>
      <c r="F539" s="2">
        <v>17</v>
      </c>
      <c r="G539" s="2">
        <v>377.72</v>
      </c>
      <c r="H539" s="5">
        <v>6421.2400000000007</v>
      </c>
    </row>
    <row r="540" spans="1:8" x14ac:dyDescent="0.25">
      <c r="A540" s="4">
        <v>1539</v>
      </c>
      <c r="B540" s="3">
        <v>45323</v>
      </c>
      <c r="C540" s="2" t="s">
        <v>19</v>
      </c>
      <c r="D540" s="2" t="s">
        <v>15</v>
      </c>
      <c r="E540" s="2" t="s">
        <v>10</v>
      </c>
      <c r="F540" s="2">
        <v>4</v>
      </c>
      <c r="G540" s="2">
        <v>913.05</v>
      </c>
      <c r="H540" s="5">
        <v>3652.2</v>
      </c>
    </row>
    <row r="541" spans="1:8" x14ac:dyDescent="0.25">
      <c r="A541" s="4">
        <v>1540</v>
      </c>
      <c r="B541" s="3">
        <v>45643</v>
      </c>
      <c r="C541" s="2" t="s">
        <v>13</v>
      </c>
      <c r="D541" s="2" t="s">
        <v>18</v>
      </c>
      <c r="E541" s="2" t="s">
        <v>14</v>
      </c>
      <c r="F541" s="2">
        <v>18</v>
      </c>
      <c r="G541" s="2">
        <v>1288.3499999999999</v>
      </c>
      <c r="H541" s="5">
        <v>23190.3</v>
      </c>
    </row>
    <row r="542" spans="1:8" x14ac:dyDescent="0.25">
      <c r="A542" s="4">
        <v>1541</v>
      </c>
      <c r="B542" s="3">
        <v>45628</v>
      </c>
      <c r="C542" s="2" t="s">
        <v>17</v>
      </c>
      <c r="D542" s="2" t="s">
        <v>9</v>
      </c>
      <c r="E542" s="2" t="s">
        <v>10</v>
      </c>
      <c r="F542" s="2">
        <v>19</v>
      </c>
      <c r="G542" s="2">
        <v>1054.6099999999999</v>
      </c>
      <c r="H542" s="5">
        <v>20037.59</v>
      </c>
    </row>
    <row r="543" spans="1:8" x14ac:dyDescent="0.25">
      <c r="A543" s="4">
        <v>1542</v>
      </c>
      <c r="B543" s="3">
        <v>45495</v>
      </c>
      <c r="C543" s="2" t="s">
        <v>11</v>
      </c>
      <c r="D543" s="2" t="s">
        <v>20</v>
      </c>
      <c r="E543" s="2" t="s">
        <v>12</v>
      </c>
      <c r="F543" s="2">
        <v>7</v>
      </c>
      <c r="G543" s="2">
        <v>103.66</v>
      </c>
      <c r="H543" s="5">
        <v>725.62</v>
      </c>
    </row>
    <row r="544" spans="1:8" x14ac:dyDescent="0.25">
      <c r="A544" s="4">
        <v>1543</v>
      </c>
      <c r="B544" s="3">
        <v>45397</v>
      </c>
      <c r="C544" s="2" t="s">
        <v>17</v>
      </c>
      <c r="D544" s="2" t="s">
        <v>18</v>
      </c>
      <c r="E544" s="2" t="s">
        <v>21</v>
      </c>
      <c r="F544" s="2">
        <v>13</v>
      </c>
      <c r="G544" s="2">
        <v>79.959999999999994</v>
      </c>
      <c r="H544" s="5">
        <v>1039.48</v>
      </c>
    </row>
    <row r="545" spans="1:8" x14ac:dyDescent="0.25">
      <c r="A545" s="4">
        <v>1544</v>
      </c>
      <c r="B545" s="3">
        <v>45459</v>
      </c>
      <c r="C545" s="2" t="s">
        <v>17</v>
      </c>
      <c r="D545" s="2" t="s">
        <v>20</v>
      </c>
      <c r="E545" s="2" t="s">
        <v>14</v>
      </c>
      <c r="F545" s="2">
        <v>12</v>
      </c>
      <c r="G545" s="2">
        <v>1366.97</v>
      </c>
      <c r="H545" s="5">
        <v>16403.64</v>
      </c>
    </row>
    <row r="546" spans="1:8" x14ac:dyDescent="0.25">
      <c r="A546" s="4">
        <v>1545</v>
      </c>
      <c r="B546" s="3">
        <v>45485</v>
      </c>
      <c r="C546" s="2" t="s">
        <v>19</v>
      </c>
      <c r="D546" s="2" t="s">
        <v>15</v>
      </c>
      <c r="E546" s="2" t="s">
        <v>21</v>
      </c>
      <c r="F546" s="2">
        <v>10</v>
      </c>
      <c r="G546" s="2">
        <v>677.36</v>
      </c>
      <c r="H546" s="5">
        <v>6773.6</v>
      </c>
    </row>
    <row r="547" spans="1:8" x14ac:dyDescent="0.25">
      <c r="A547" s="4">
        <v>1546</v>
      </c>
      <c r="B547" s="3">
        <v>45493</v>
      </c>
      <c r="C547" s="2" t="s">
        <v>8</v>
      </c>
      <c r="D547" s="2" t="s">
        <v>15</v>
      </c>
      <c r="E547" s="2" t="s">
        <v>10</v>
      </c>
      <c r="F547" s="2">
        <v>2</v>
      </c>
      <c r="G547" s="2">
        <v>1243.95</v>
      </c>
      <c r="H547" s="5">
        <v>2487.9</v>
      </c>
    </row>
    <row r="548" spans="1:8" x14ac:dyDescent="0.25">
      <c r="A548" s="4">
        <v>1547</v>
      </c>
      <c r="B548" s="3">
        <v>45551</v>
      </c>
      <c r="C548" s="2" t="s">
        <v>8</v>
      </c>
      <c r="D548" s="2" t="s">
        <v>20</v>
      </c>
      <c r="E548" s="2" t="s">
        <v>16</v>
      </c>
      <c r="F548" s="2">
        <v>9</v>
      </c>
      <c r="G548" s="2">
        <v>519.07000000000005</v>
      </c>
      <c r="H548" s="5">
        <v>4671.63</v>
      </c>
    </row>
    <row r="549" spans="1:8" x14ac:dyDescent="0.25">
      <c r="A549" s="4">
        <v>1548</v>
      </c>
      <c r="B549" s="3">
        <v>45493</v>
      </c>
      <c r="C549" s="2" t="s">
        <v>19</v>
      </c>
      <c r="D549" s="2" t="s">
        <v>15</v>
      </c>
      <c r="E549" s="2" t="s">
        <v>14</v>
      </c>
      <c r="F549" s="2">
        <v>16</v>
      </c>
      <c r="G549" s="2">
        <v>378.87</v>
      </c>
      <c r="H549" s="5">
        <v>6061.92</v>
      </c>
    </row>
    <row r="550" spans="1:8" x14ac:dyDescent="0.25">
      <c r="A550" s="4">
        <v>1549</v>
      </c>
      <c r="B550" s="3">
        <v>45397</v>
      </c>
      <c r="C550" s="2" t="s">
        <v>8</v>
      </c>
      <c r="D550" s="2" t="s">
        <v>15</v>
      </c>
      <c r="E550" s="2" t="s">
        <v>21</v>
      </c>
      <c r="F550" s="2">
        <v>18</v>
      </c>
      <c r="G550" s="2">
        <v>455.55</v>
      </c>
      <c r="H550" s="5">
        <v>8199.9</v>
      </c>
    </row>
    <row r="551" spans="1:8" x14ac:dyDescent="0.25">
      <c r="A551" s="4">
        <v>1550</v>
      </c>
      <c r="B551" s="3">
        <v>45352</v>
      </c>
      <c r="C551" s="2" t="s">
        <v>19</v>
      </c>
      <c r="D551" s="2" t="s">
        <v>18</v>
      </c>
      <c r="E551" s="2" t="s">
        <v>14</v>
      </c>
      <c r="F551" s="2">
        <v>18</v>
      </c>
      <c r="G551" s="2">
        <v>1001.21</v>
      </c>
      <c r="H551" s="5">
        <v>18021.78</v>
      </c>
    </row>
    <row r="552" spans="1:8" x14ac:dyDescent="0.25">
      <c r="A552" s="4">
        <v>1551</v>
      </c>
      <c r="B552" s="3">
        <v>45354</v>
      </c>
      <c r="C552" s="2" t="s">
        <v>11</v>
      </c>
      <c r="D552" s="2" t="s">
        <v>9</v>
      </c>
      <c r="E552" s="2" t="s">
        <v>21</v>
      </c>
      <c r="F552" s="2">
        <v>3</v>
      </c>
      <c r="G552" s="2">
        <v>577.55999999999995</v>
      </c>
      <c r="H552" s="5">
        <v>1732.68</v>
      </c>
    </row>
    <row r="553" spans="1:8" x14ac:dyDescent="0.25">
      <c r="A553" s="4">
        <v>1552</v>
      </c>
      <c r="B553" s="3">
        <v>45592</v>
      </c>
      <c r="C553" s="2" t="s">
        <v>19</v>
      </c>
      <c r="D553" s="2" t="s">
        <v>9</v>
      </c>
      <c r="E553" s="2" t="s">
        <v>10</v>
      </c>
      <c r="F553" s="2">
        <v>10</v>
      </c>
      <c r="G553" s="2">
        <v>300.5</v>
      </c>
      <c r="H553" s="5">
        <v>3005</v>
      </c>
    </row>
    <row r="554" spans="1:8" x14ac:dyDescent="0.25">
      <c r="A554" s="4">
        <v>1553</v>
      </c>
      <c r="B554" s="3">
        <v>45320</v>
      </c>
      <c r="C554" s="2" t="s">
        <v>11</v>
      </c>
      <c r="D554" s="2" t="s">
        <v>15</v>
      </c>
      <c r="E554" s="2" t="s">
        <v>16</v>
      </c>
      <c r="F554" s="2">
        <v>12</v>
      </c>
      <c r="G554" s="2">
        <v>541.11</v>
      </c>
      <c r="H554" s="5">
        <v>6493.32</v>
      </c>
    </row>
    <row r="555" spans="1:8" x14ac:dyDescent="0.25">
      <c r="A555" s="4">
        <v>1554</v>
      </c>
      <c r="B555" s="3">
        <v>45548</v>
      </c>
      <c r="C555" s="2" t="s">
        <v>8</v>
      </c>
      <c r="D555" s="2" t="s">
        <v>15</v>
      </c>
      <c r="E555" s="2" t="s">
        <v>16</v>
      </c>
      <c r="F555" s="2">
        <v>17</v>
      </c>
      <c r="G555" s="2">
        <v>1214.1099999999999</v>
      </c>
      <c r="H555" s="5">
        <v>20639.87</v>
      </c>
    </row>
    <row r="556" spans="1:8" x14ac:dyDescent="0.25">
      <c r="A556" s="4">
        <v>1555</v>
      </c>
      <c r="B556" s="3">
        <v>45356</v>
      </c>
      <c r="C556" s="2" t="s">
        <v>17</v>
      </c>
      <c r="D556" s="2" t="s">
        <v>18</v>
      </c>
      <c r="E556" s="2" t="s">
        <v>16</v>
      </c>
      <c r="F556" s="2">
        <v>10</v>
      </c>
      <c r="G556" s="2">
        <v>1065.4100000000001</v>
      </c>
      <c r="H556" s="5">
        <v>10654.1</v>
      </c>
    </row>
    <row r="557" spans="1:8" x14ac:dyDescent="0.25">
      <c r="A557" s="4">
        <v>1556</v>
      </c>
      <c r="B557" s="3">
        <v>45319</v>
      </c>
      <c r="C557" s="2" t="s">
        <v>19</v>
      </c>
      <c r="D557" s="2" t="s">
        <v>18</v>
      </c>
      <c r="E557" s="2" t="s">
        <v>16</v>
      </c>
      <c r="F557" s="2">
        <v>19</v>
      </c>
      <c r="G557" s="2">
        <v>749.76</v>
      </c>
      <c r="H557" s="5">
        <v>14245.44</v>
      </c>
    </row>
    <row r="558" spans="1:8" x14ac:dyDescent="0.25">
      <c r="A558" s="4">
        <v>1557</v>
      </c>
      <c r="B558" s="3">
        <v>45430</v>
      </c>
      <c r="C558" s="2" t="s">
        <v>13</v>
      </c>
      <c r="D558" s="2" t="s">
        <v>20</v>
      </c>
      <c r="E558" s="2" t="s">
        <v>12</v>
      </c>
      <c r="F558" s="2">
        <v>18</v>
      </c>
      <c r="G558" s="2">
        <v>215.2</v>
      </c>
      <c r="H558" s="5">
        <v>3873.6</v>
      </c>
    </row>
    <row r="559" spans="1:8" x14ac:dyDescent="0.25">
      <c r="A559" s="4">
        <v>1558</v>
      </c>
      <c r="B559" s="3">
        <v>45606</v>
      </c>
      <c r="C559" s="2" t="s">
        <v>19</v>
      </c>
      <c r="D559" s="2" t="s">
        <v>18</v>
      </c>
      <c r="E559" s="2" t="s">
        <v>10</v>
      </c>
      <c r="F559" s="2">
        <v>3</v>
      </c>
      <c r="G559" s="2">
        <v>1221.5</v>
      </c>
      <c r="H559" s="5">
        <v>3664.5</v>
      </c>
    </row>
    <row r="560" spans="1:8" x14ac:dyDescent="0.25">
      <c r="A560" s="4">
        <v>1559</v>
      </c>
      <c r="B560" s="3">
        <v>45466</v>
      </c>
      <c r="C560" s="2" t="s">
        <v>11</v>
      </c>
      <c r="D560" s="2" t="s">
        <v>20</v>
      </c>
      <c r="E560" s="2" t="s">
        <v>10</v>
      </c>
      <c r="F560" s="2">
        <v>16</v>
      </c>
      <c r="G560" s="2">
        <v>644.72</v>
      </c>
      <c r="H560" s="5">
        <v>10315.52</v>
      </c>
    </row>
    <row r="561" spans="1:8" x14ac:dyDescent="0.25">
      <c r="A561" s="4">
        <v>1560</v>
      </c>
      <c r="B561" s="3">
        <v>45639</v>
      </c>
      <c r="C561" s="2" t="s">
        <v>19</v>
      </c>
      <c r="D561" s="2" t="s">
        <v>9</v>
      </c>
      <c r="E561" s="2" t="s">
        <v>10</v>
      </c>
      <c r="F561" s="2">
        <v>14</v>
      </c>
      <c r="G561" s="2">
        <v>562.15</v>
      </c>
      <c r="H561" s="5">
        <v>7870.0999999999995</v>
      </c>
    </row>
    <row r="562" spans="1:8" x14ac:dyDescent="0.25">
      <c r="A562" s="4">
        <v>1561</v>
      </c>
      <c r="B562" s="3">
        <v>45312</v>
      </c>
      <c r="C562" s="2" t="s">
        <v>11</v>
      </c>
      <c r="D562" s="2" t="s">
        <v>15</v>
      </c>
      <c r="E562" s="2" t="s">
        <v>16</v>
      </c>
      <c r="F562" s="2">
        <v>12</v>
      </c>
      <c r="G562" s="2">
        <v>868.28</v>
      </c>
      <c r="H562" s="5">
        <v>10419.36</v>
      </c>
    </row>
    <row r="563" spans="1:8" x14ac:dyDescent="0.25">
      <c r="A563" s="4">
        <v>1562</v>
      </c>
      <c r="B563" s="3">
        <v>45295</v>
      </c>
      <c r="C563" s="2" t="s">
        <v>13</v>
      </c>
      <c r="D563" s="2" t="s">
        <v>18</v>
      </c>
      <c r="E563" s="2" t="s">
        <v>10</v>
      </c>
      <c r="F563" s="2">
        <v>4</v>
      </c>
      <c r="G563" s="2">
        <v>1169.0999999999999</v>
      </c>
      <c r="H563" s="5">
        <v>4676.3999999999996</v>
      </c>
    </row>
    <row r="564" spans="1:8" x14ac:dyDescent="0.25">
      <c r="A564" s="4">
        <v>1563</v>
      </c>
      <c r="B564" s="3">
        <v>45642</v>
      </c>
      <c r="C564" s="2" t="s">
        <v>11</v>
      </c>
      <c r="D564" s="2" t="s">
        <v>20</v>
      </c>
      <c r="E564" s="2" t="s">
        <v>21</v>
      </c>
      <c r="F564" s="2">
        <v>6</v>
      </c>
      <c r="G564" s="2">
        <v>1396.3</v>
      </c>
      <c r="H564" s="5">
        <v>8377.7999999999993</v>
      </c>
    </row>
    <row r="565" spans="1:8" x14ac:dyDescent="0.25">
      <c r="A565" s="4">
        <v>1564</v>
      </c>
      <c r="B565" s="3">
        <v>45451</v>
      </c>
      <c r="C565" s="2" t="s">
        <v>13</v>
      </c>
      <c r="D565" s="2" t="s">
        <v>18</v>
      </c>
      <c r="E565" s="2" t="s">
        <v>10</v>
      </c>
      <c r="F565" s="2">
        <v>10</v>
      </c>
      <c r="G565" s="2">
        <v>109.66</v>
      </c>
      <c r="H565" s="5">
        <v>1096.5999999999999</v>
      </c>
    </row>
    <row r="566" spans="1:8" x14ac:dyDescent="0.25">
      <c r="A566" s="4">
        <v>1565</v>
      </c>
      <c r="B566" s="3">
        <v>45636</v>
      </c>
      <c r="C566" s="2" t="s">
        <v>13</v>
      </c>
      <c r="D566" s="2" t="s">
        <v>9</v>
      </c>
      <c r="E566" s="2" t="s">
        <v>14</v>
      </c>
      <c r="F566" s="2">
        <v>8</v>
      </c>
      <c r="G566" s="2">
        <v>1494.57</v>
      </c>
      <c r="H566" s="5">
        <v>11956.56</v>
      </c>
    </row>
    <row r="567" spans="1:8" x14ac:dyDescent="0.25">
      <c r="A567" s="4">
        <v>1566</v>
      </c>
      <c r="B567" s="3">
        <v>45474</v>
      </c>
      <c r="C567" s="2" t="s">
        <v>19</v>
      </c>
      <c r="D567" s="2" t="s">
        <v>15</v>
      </c>
      <c r="E567" s="2" t="s">
        <v>12</v>
      </c>
      <c r="F567" s="2">
        <v>17</v>
      </c>
      <c r="G567" s="2">
        <v>255.91</v>
      </c>
      <c r="H567" s="5">
        <v>4350.47</v>
      </c>
    </row>
    <row r="568" spans="1:8" x14ac:dyDescent="0.25">
      <c r="A568" s="4">
        <v>1567</v>
      </c>
      <c r="B568" s="3">
        <v>45442</v>
      </c>
      <c r="C568" s="2" t="s">
        <v>11</v>
      </c>
      <c r="D568" s="2" t="s">
        <v>9</v>
      </c>
      <c r="E568" s="2" t="s">
        <v>21</v>
      </c>
      <c r="F568" s="2">
        <v>18</v>
      </c>
      <c r="G568" s="2">
        <v>693.03</v>
      </c>
      <c r="H568" s="5">
        <v>12474.54</v>
      </c>
    </row>
    <row r="569" spans="1:8" x14ac:dyDescent="0.25">
      <c r="A569" s="4">
        <v>1568</v>
      </c>
      <c r="B569" s="3">
        <v>45487</v>
      </c>
      <c r="C569" s="2" t="s">
        <v>13</v>
      </c>
      <c r="D569" s="2" t="s">
        <v>20</v>
      </c>
      <c r="E569" s="2" t="s">
        <v>10</v>
      </c>
      <c r="F569" s="2">
        <v>14</v>
      </c>
      <c r="G569" s="2">
        <v>674.55</v>
      </c>
      <c r="H569" s="5">
        <v>9443.6999999999989</v>
      </c>
    </row>
    <row r="570" spans="1:8" x14ac:dyDescent="0.25">
      <c r="A570" s="4">
        <v>1569</v>
      </c>
      <c r="B570" s="3">
        <v>45465</v>
      </c>
      <c r="C570" s="2" t="s">
        <v>11</v>
      </c>
      <c r="D570" s="2" t="s">
        <v>20</v>
      </c>
      <c r="E570" s="2" t="s">
        <v>14</v>
      </c>
      <c r="F570" s="2">
        <v>1</v>
      </c>
      <c r="G570" s="2">
        <v>635.75</v>
      </c>
      <c r="H570" s="5">
        <v>635.75</v>
      </c>
    </row>
    <row r="571" spans="1:8" x14ac:dyDescent="0.25">
      <c r="A571" s="4">
        <v>1570</v>
      </c>
      <c r="B571" s="3">
        <v>45361</v>
      </c>
      <c r="C571" s="2" t="s">
        <v>19</v>
      </c>
      <c r="D571" s="2" t="s">
        <v>15</v>
      </c>
      <c r="E571" s="2" t="s">
        <v>12</v>
      </c>
      <c r="F571" s="2">
        <v>8</v>
      </c>
      <c r="G571" s="2">
        <v>1033.32</v>
      </c>
      <c r="H571" s="5">
        <v>8266.56</v>
      </c>
    </row>
    <row r="572" spans="1:8" x14ac:dyDescent="0.25">
      <c r="A572" s="4">
        <v>1571</v>
      </c>
      <c r="B572" s="3">
        <v>45428</v>
      </c>
      <c r="C572" s="2" t="s">
        <v>11</v>
      </c>
      <c r="D572" s="2" t="s">
        <v>9</v>
      </c>
      <c r="E572" s="2" t="s">
        <v>12</v>
      </c>
      <c r="F572" s="2">
        <v>4</v>
      </c>
      <c r="G572" s="2">
        <v>1441.85</v>
      </c>
      <c r="H572" s="5">
        <v>5767.4</v>
      </c>
    </row>
    <row r="573" spans="1:8" x14ac:dyDescent="0.25">
      <c r="A573" s="4">
        <v>1572</v>
      </c>
      <c r="B573" s="3">
        <v>45649</v>
      </c>
      <c r="C573" s="2" t="s">
        <v>11</v>
      </c>
      <c r="D573" s="2" t="s">
        <v>9</v>
      </c>
      <c r="E573" s="2" t="s">
        <v>16</v>
      </c>
      <c r="F573" s="2">
        <v>1</v>
      </c>
      <c r="G573" s="2">
        <v>954.47</v>
      </c>
      <c r="H573" s="5">
        <v>954.47</v>
      </c>
    </row>
    <row r="574" spans="1:8" x14ac:dyDescent="0.25">
      <c r="A574" s="4">
        <v>1573</v>
      </c>
      <c r="B574" s="3">
        <v>45309</v>
      </c>
      <c r="C574" s="2" t="s">
        <v>13</v>
      </c>
      <c r="D574" s="2" t="s">
        <v>20</v>
      </c>
      <c r="E574" s="2" t="s">
        <v>21</v>
      </c>
      <c r="F574" s="2">
        <v>5</v>
      </c>
      <c r="G574" s="2">
        <v>668.36</v>
      </c>
      <c r="H574" s="5">
        <v>3341.8</v>
      </c>
    </row>
    <row r="575" spans="1:8" x14ac:dyDescent="0.25">
      <c r="A575" s="4">
        <v>1574</v>
      </c>
      <c r="B575" s="3">
        <v>45656</v>
      </c>
      <c r="C575" s="2" t="s">
        <v>8</v>
      </c>
      <c r="D575" s="2" t="s">
        <v>9</v>
      </c>
      <c r="E575" s="2" t="s">
        <v>21</v>
      </c>
      <c r="F575" s="2">
        <v>6</v>
      </c>
      <c r="G575" s="2">
        <v>759.89</v>
      </c>
      <c r="H575" s="5">
        <v>4559.34</v>
      </c>
    </row>
    <row r="576" spans="1:8" x14ac:dyDescent="0.25">
      <c r="A576" s="4">
        <v>1575</v>
      </c>
      <c r="B576" s="3">
        <v>45397</v>
      </c>
      <c r="C576" s="2" t="s">
        <v>13</v>
      </c>
      <c r="D576" s="2" t="s">
        <v>15</v>
      </c>
      <c r="E576" s="2" t="s">
        <v>21</v>
      </c>
      <c r="F576" s="2">
        <v>11</v>
      </c>
      <c r="G576" s="2">
        <v>1497.08</v>
      </c>
      <c r="H576" s="5">
        <v>16467.88</v>
      </c>
    </row>
    <row r="577" spans="1:8" x14ac:dyDescent="0.25">
      <c r="A577" s="4">
        <v>1576</v>
      </c>
      <c r="B577" s="3">
        <v>45491</v>
      </c>
      <c r="C577" s="2" t="s">
        <v>13</v>
      </c>
      <c r="D577" s="2" t="s">
        <v>20</v>
      </c>
      <c r="E577" s="2" t="s">
        <v>10</v>
      </c>
      <c r="F577" s="2">
        <v>17</v>
      </c>
      <c r="G577" s="2">
        <v>130.44</v>
      </c>
      <c r="H577" s="5">
        <v>2217.48</v>
      </c>
    </row>
    <row r="578" spans="1:8" x14ac:dyDescent="0.25">
      <c r="A578" s="4">
        <v>1577</v>
      </c>
      <c r="B578" s="3">
        <v>45439</v>
      </c>
      <c r="C578" s="2" t="s">
        <v>8</v>
      </c>
      <c r="D578" s="2" t="s">
        <v>9</v>
      </c>
      <c r="E578" s="2" t="s">
        <v>14</v>
      </c>
      <c r="F578" s="2">
        <v>2</v>
      </c>
      <c r="G578" s="2">
        <v>1275.27</v>
      </c>
      <c r="H578" s="5">
        <v>2550.54</v>
      </c>
    </row>
    <row r="579" spans="1:8" x14ac:dyDescent="0.25">
      <c r="A579" s="4">
        <v>1578</v>
      </c>
      <c r="B579" s="3">
        <v>45593</v>
      </c>
      <c r="C579" s="2" t="s">
        <v>13</v>
      </c>
      <c r="D579" s="2" t="s">
        <v>15</v>
      </c>
      <c r="E579" s="2" t="s">
        <v>10</v>
      </c>
      <c r="F579" s="2">
        <v>17</v>
      </c>
      <c r="G579" s="2">
        <v>1149.6300000000001</v>
      </c>
      <c r="H579" s="5">
        <v>19543.71</v>
      </c>
    </row>
    <row r="580" spans="1:8" x14ac:dyDescent="0.25">
      <c r="A580" s="4">
        <v>1579</v>
      </c>
      <c r="B580" s="3">
        <v>45349</v>
      </c>
      <c r="C580" s="2" t="s">
        <v>19</v>
      </c>
      <c r="D580" s="2" t="s">
        <v>15</v>
      </c>
      <c r="E580" s="2" t="s">
        <v>12</v>
      </c>
      <c r="F580" s="2">
        <v>1</v>
      </c>
      <c r="G580" s="2">
        <v>1056.1400000000001</v>
      </c>
      <c r="H580" s="5">
        <v>1056.1400000000001</v>
      </c>
    </row>
    <row r="581" spans="1:8" x14ac:dyDescent="0.25">
      <c r="A581" s="4">
        <v>1580</v>
      </c>
      <c r="B581" s="3">
        <v>45578</v>
      </c>
      <c r="C581" s="2" t="s">
        <v>11</v>
      </c>
      <c r="D581" s="2" t="s">
        <v>15</v>
      </c>
      <c r="E581" s="2" t="s">
        <v>21</v>
      </c>
      <c r="F581" s="2">
        <v>6</v>
      </c>
      <c r="G581" s="2">
        <v>555.28</v>
      </c>
      <c r="H581" s="5">
        <v>3331.68</v>
      </c>
    </row>
    <row r="582" spans="1:8" x14ac:dyDescent="0.25">
      <c r="A582" s="4">
        <v>1581</v>
      </c>
      <c r="B582" s="3">
        <v>45490</v>
      </c>
      <c r="C582" s="2" t="s">
        <v>11</v>
      </c>
      <c r="D582" s="2" t="s">
        <v>18</v>
      </c>
      <c r="E582" s="2" t="s">
        <v>10</v>
      </c>
      <c r="F582" s="2">
        <v>10</v>
      </c>
      <c r="G582" s="2">
        <v>327.63</v>
      </c>
      <c r="H582" s="5">
        <v>3276.3</v>
      </c>
    </row>
    <row r="583" spans="1:8" x14ac:dyDescent="0.25">
      <c r="A583" s="4">
        <v>1582</v>
      </c>
      <c r="B583" s="3">
        <v>45525</v>
      </c>
      <c r="C583" s="2" t="s">
        <v>19</v>
      </c>
      <c r="D583" s="2" t="s">
        <v>9</v>
      </c>
      <c r="E583" s="2" t="s">
        <v>21</v>
      </c>
      <c r="F583" s="2">
        <v>5</v>
      </c>
      <c r="G583" s="2">
        <v>1018.84</v>
      </c>
      <c r="H583" s="5">
        <v>5094.2</v>
      </c>
    </row>
    <row r="584" spans="1:8" x14ac:dyDescent="0.25">
      <c r="A584" s="4">
        <v>1583</v>
      </c>
      <c r="B584" s="3">
        <v>45554</v>
      </c>
      <c r="C584" s="2" t="s">
        <v>13</v>
      </c>
      <c r="D584" s="2" t="s">
        <v>18</v>
      </c>
      <c r="E584" s="2" t="s">
        <v>16</v>
      </c>
      <c r="F584" s="2">
        <v>7</v>
      </c>
      <c r="G584" s="2">
        <v>897.19</v>
      </c>
      <c r="H584" s="5">
        <v>6280.33</v>
      </c>
    </row>
    <row r="585" spans="1:8" x14ac:dyDescent="0.25">
      <c r="A585" s="4">
        <v>1584</v>
      </c>
      <c r="B585" s="3">
        <v>45478</v>
      </c>
      <c r="C585" s="2" t="s">
        <v>11</v>
      </c>
      <c r="D585" s="2" t="s">
        <v>20</v>
      </c>
      <c r="E585" s="2" t="s">
        <v>14</v>
      </c>
      <c r="F585" s="2">
        <v>17</v>
      </c>
      <c r="G585" s="2">
        <v>1381.35</v>
      </c>
      <c r="H585" s="5">
        <v>23482.95</v>
      </c>
    </row>
    <row r="586" spans="1:8" x14ac:dyDescent="0.25">
      <c r="A586" s="4">
        <v>1585</v>
      </c>
      <c r="B586" s="3">
        <v>45411</v>
      </c>
      <c r="C586" s="2" t="s">
        <v>19</v>
      </c>
      <c r="D586" s="2" t="s">
        <v>20</v>
      </c>
      <c r="E586" s="2" t="s">
        <v>21</v>
      </c>
      <c r="F586" s="2">
        <v>9</v>
      </c>
      <c r="G586" s="2">
        <v>1034.0999999999999</v>
      </c>
      <c r="H586" s="5">
        <v>9306.9</v>
      </c>
    </row>
    <row r="587" spans="1:8" x14ac:dyDescent="0.25">
      <c r="A587" s="4">
        <v>1586</v>
      </c>
      <c r="B587" s="3">
        <v>45481</v>
      </c>
      <c r="C587" s="2" t="s">
        <v>8</v>
      </c>
      <c r="D587" s="2" t="s">
        <v>9</v>
      </c>
      <c r="E587" s="2" t="s">
        <v>16</v>
      </c>
      <c r="F587" s="2">
        <v>9</v>
      </c>
      <c r="G587" s="2">
        <v>420.65</v>
      </c>
      <c r="H587" s="5">
        <v>3785.85</v>
      </c>
    </row>
    <row r="588" spans="1:8" x14ac:dyDescent="0.25">
      <c r="A588" s="4">
        <v>1587</v>
      </c>
      <c r="B588" s="3">
        <v>45353</v>
      </c>
      <c r="C588" s="2" t="s">
        <v>8</v>
      </c>
      <c r="D588" s="2" t="s">
        <v>9</v>
      </c>
      <c r="E588" s="2" t="s">
        <v>16</v>
      </c>
      <c r="F588" s="2">
        <v>3</v>
      </c>
      <c r="G588" s="2">
        <v>59.86</v>
      </c>
      <c r="H588" s="5">
        <v>179.58</v>
      </c>
    </row>
    <row r="589" spans="1:8" x14ac:dyDescent="0.25">
      <c r="A589" s="4">
        <v>1588</v>
      </c>
      <c r="B589" s="3">
        <v>45455</v>
      </c>
      <c r="C589" s="2" t="s">
        <v>11</v>
      </c>
      <c r="D589" s="2" t="s">
        <v>9</v>
      </c>
      <c r="E589" s="2" t="s">
        <v>10</v>
      </c>
      <c r="F589" s="2">
        <v>4</v>
      </c>
      <c r="G589" s="2">
        <v>606.75</v>
      </c>
      <c r="H589" s="5">
        <v>2427</v>
      </c>
    </row>
    <row r="590" spans="1:8" x14ac:dyDescent="0.25">
      <c r="A590" s="4">
        <v>1589</v>
      </c>
      <c r="B590" s="3">
        <v>45395</v>
      </c>
      <c r="C590" s="2" t="s">
        <v>19</v>
      </c>
      <c r="D590" s="2" t="s">
        <v>15</v>
      </c>
      <c r="E590" s="2" t="s">
        <v>10</v>
      </c>
      <c r="F590" s="2">
        <v>5</v>
      </c>
      <c r="G590" s="2">
        <v>1367.09</v>
      </c>
      <c r="H590" s="5">
        <v>6835.45</v>
      </c>
    </row>
    <row r="591" spans="1:8" x14ac:dyDescent="0.25">
      <c r="A591" s="4">
        <v>1590</v>
      </c>
      <c r="B591" s="3">
        <v>45543</v>
      </c>
      <c r="C591" s="2" t="s">
        <v>8</v>
      </c>
      <c r="D591" s="2" t="s">
        <v>15</v>
      </c>
      <c r="E591" s="2" t="s">
        <v>10</v>
      </c>
      <c r="F591" s="2">
        <v>8</v>
      </c>
      <c r="G591" s="2">
        <v>574.5</v>
      </c>
      <c r="H591" s="5">
        <v>4596</v>
      </c>
    </row>
    <row r="592" spans="1:8" x14ac:dyDescent="0.25">
      <c r="A592" s="4">
        <v>1591</v>
      </c>
      <c r="B592" s="3">
        <v>45604</v>
      </c>
      <c r="C592" s="2" t="s">
        <v>19</v>
      </c>
      <c r="D592" s="2" t="s">
        <v>20</v>
      </c>
      <c r="E592" s="2" t="s">
        <v>16</v>
      </c>
      <c r="F592" s="2">
        <v>17</v>
      </c>
      <c r="G592" s="2">
        <v>438.38</v>
      </c>
      <c r="H592" s="5">
        <v>7452.46</v>
      </c>
    </row>
    <row r="593" spans="1:8" x14ac:dyDescent="0.25">
      <c r="A593" s="4">
        <v>1592</v>
      </c>
      <c r="B593" s="3">
        <v>45315</v>
      </c>
      <c r="C593" s="2" t="s">
        <v>8</v>
      </c>
      <c r="D593" s="2" t="s">
        <v>18</v>
      </c>
      <c r="E593" s="2" t="s">
        <v>16</v>
      </c>
      <c r="F593" s="2">
        <v>15</v>
      </c>
      <c r="G593" s="2">
        <v>1441.91</v>
      </c>
      <c r="H593" s="5">
        <v>21628.65</v>
      </c>
    </row>
    <row r="594" spans="1:8" x14ac:dyDescent="0.25">
      <c r="A594" s="4">
        <v>1593</v>
      </c>
      <c r="B594" s="3">
        <v>45449</v>
      </c>
      <c r="C594" s="2" t="s">
        <v>17</v>
      </c>
      <c r="D594" s="2" t="s">
        <v>20</v>
      </c>
      <c r="E594" s="2" t="s">
        <v>16</v>
      </c>
      <c r="F594" s="2">
        <v>7</v>
      </c>
      <c r="G594" s="2">
        <v>681.02</v>
      </c>
      <c r="H594" s="5">
        <v>4767.1399999999994</v>
      </c>
    </row>
    <row r="595" spans="1:8" x14ac:dyDescent="0.25">
      <c r="A595" s="4">
        <v>1594</v>
      </c>
      <c r="B595" s="3">
        <v>45573</v>
      </c>
      <c r="C595" s="2" t="s">
        <v>11</v>
      </c>
      <c r="D595" s="2" t="s">
        <v>15</v>
      </c>
      <c r="E595" s="2" t="s">
        <v>16</v>
      </c>
      <c r="F595" s="2">
        <v>14</v>
      </c>
      <c r="G595" s="2">
        <v>329.25</v>
      </c>
      <c r="H595" s="5">
        <v>4609.5</v>
      </c>
    </row>
    <row r="596" spans="1:8" x14ac:dyDescent="0.25">
      <c r="A596" s="4">
        <v>1595</v>
      </c>
      <c r="B596" s="3">
        <v>45401</v>
      </c>
      <c r="C596" s="2" t="s">
        <v>13</v>
      </c>
      <c r="D596" s="2" t="s">
        <v>15</v>
      </c>
      <c r="E596" s="2" t="s">
        <v>16</v>
      </c>
      <c r="F596" s="2">
        <v>2</v>
      </c>
      <c r="G596" s="2">
        <v>164.42</v>
      </c>
      <c r="H596" s="5">
        <v>328.84</v>
      </c>
    </row>
    <row r="597" spans="1:8" x14ac:dyDescent="0.25">
      <c r="A597" s="4">
        <v>1596</v>
      </c>
      <c r="B597" s="3">
        <v>45467</v>
      </c>
      <c r="C597" s="2" t="s">
        <v>19</v>
      </c>
      <c r="D597" s="2" t="s">
        <v>18</v>
      </c>
      <c r="E597" s="2" t="s">
        <v>21</v>
      </c>
      <c r="F597" s="2">
        <v>17</v>
      </c>
      <c r="G597" s="2">
        <v>488.52</v>
      </c>
      <c r="H597" s="5">
        <v>8304.84</v>
      </c>
    </row>
    <row r="598" spans="1:8" x14ac:dyDescent="0.25">
      <c r="A598" s="4">
        <v>1597</v>
      </c>
      <c r="B598" s="3">
        <v>45383</v>
      </c>
      <c r="C598" s="2" t="s">
        <v>8</v>
      </c>
      <c r="D598" s="2" t="s">
        <v>15</v>
      </c>
      <c r="E598" s="2" t="s">
        <v>16</v>
      </c>
      <c r="F598" s="2">
        <v>18</v>
      </c>
      <c r="G598" s="2">
        <v>459.07</v>
      </c>
      <c r="H598" s="5">
        <v>8263.26</v>
      </c>
    </row>
    <row r="599" spans="1:8" x14ac:dyDescent="0.25">
      <c r="A599" s="4">
        <v>1598</v>
      </c>
      <c r="B599" s="3">
        <v>45610</v>
      </c>
      <c r="C599" s="2" t="s">
        <v>11</v>
      </c>
      <c r="D599" s="2" t="s">
        <v>15</v>
      </c>
      <c r="E599" s="2" t="s">
        <v>14</v>
      </c>
      <c r="F599" s="2">
        <v>17</v>
      </c>
      <c r="G599" s="2">
        <v>390.03</v>
      </c>
      <c r="H599" s="5">
        <v>6630.5099999999993</v>
      </c>
    </row>
    <row r="600" spans="1:8" x14ac:dyDescent="0.25">
      <c r="A600" s="4">
        <v>1599</v>
      </c>
      <c r="B600" s="3">
        <v>45349</v>
      </c>
      <c r="C600" s="2" t="s">
        <v>19</v>
      </c>
      <c r="D600" s="2" t="s">
        <v>20</v>
      </c>
      <c r="E600" s="2" t="s">
        <v>14</v>
      </c>
      <c r="F600" s="2">
        <v>10</v>
      </c>
      <c r="G600" s="2">
        <v>1226.6199999999999</v>
      </c>
      <c r="H600" s="5">
        <v>12266.2</v>
      </c>
    </row>
    <row r="601" spans="1:8" x14ac:dyDescent="0.25">
      <c r="A601" s="4">
        <v>1600</v>
      </c>
      <c r="B601" s="3">
        <v>45300</v>
      </c>
      <c r="C601" s="2" t="s">
        <v>13</v>
      </c>
      <c r="D601" s="2" t="s">
        <v>9</v>
      </c>
      <c r="E601" s="2" t="s">
        <v>16</v>
      </c>
      <c r="F601" s="2">
        <v>19</v>
      </c>
      <c r="G601" s="2">
        <v>700.49</v>
      </c>
      <c r="H601" s="5">
        <v>13309.31</v>
      </c>
    </row>
    <row r="602" spans="1:8" x14ac:dyDescent="0.25">
      <c r="A602" s="4">
        <v>1601</v>
      </c>
      <c r="B602" s="3">
        <v>45475</v>
      </c>
      <c r="C602" s="2" t="s">
        <v>8</v>
      </c>
      <c r="D602" s="2" t="s">
        <v>9</v>
      </c>
      <c r="E602" s="2" t="s">
        <v>12</v>
      </c>
      <c r="F602" s="2">
        <v>4</v>
      </c>
      <c r="G602" s="2">
        <v>160.83000000000001</v>
      </c>
      <c r="H602" s="5">
        <v>643.32000000000005</v>
      </c>
    </row>
    <row r="603" spans="1:8" x14ac:dyDescent="0.25">
      <c r="A603" s="4">
        <v>1602</v>
      </c>
      <c r="B603" s="3">
        <v>45631</v>
      </c>
      <c r="C603" s="2" t="s">
        <v>13</v>
      </c>
      <c r="D603" s="2" t="s">
        <v>15</v>
      </c>
      <c r="E603" s="2" t="s">
        <v>14</v>
      </c>
      <c r="F603" s="2">
        <v>14</v>
      </c>
      <c r="G603" s="2">
        <v>101.56</v>
      </c>
      <c r="H603" s="5">
        <v>1421.84</v>
      </c>
    </row>
    <row r="604" spans="1:8" x14ac:dyDescent="0.25">
      <c r="A604" s="4">
        <v>1603</v>
      </c>
      <c r="B604" s="3">
        <v>45474</v>
      </c>
      <c r="C604" s="2" t="s">
        <v>11</v>
      </c>
      <c r="D604" s="2" t="s">
        <v>15</v>
      </c>
      <c r="E604" s="2" t="s">
        <v>14</v>
      </c>
      <c r="F604" s="2">
        <v>8</v>
      </c>
      <c r="G604" s="2">
        <v>482.06</v>
      </c>
      <c r="H604" s="5">
        <v>3856.48</v>
      </c>
    </row>
    <row r="605" spans="1:8" x14ac:dyDescent="0.25">
      <c r="A605" s="4">
        <v>1604</v>
      </c>
      <c r="B605" s="3">
        <v>45501</v>
      </c>
      <c r="C605" s="2" t="s">
        <v>8</v>
      </c>
      <c r="D605" s="2" t="s">
        <v>15</v>
      </c>
      <c r="E605" s="2" t="s">
        <v>16</v>
      </c>
      <c r="F605" s="2">
        <v>13</v>
      </c>
      <c r="G605" s="2">
        <v>310.02</v>
      </c>
      <c r="H605" s="5">
        <v>4030.26</v>
      </c>
    </row>
    <row r="606" spans="1:8" x14ac:dyDescent="0.25">
      <c r="A606" s="4">
        <v>1605</v>
      </c>
      <c r="B606" s="3">
        <v>45439</v>
      </c>
      <c r="C606" s="2" t="s">
        <v>13</v>
      </c>
      <c r="D606" s="2" t="s">
        <v>18</v>
      </c>
      <c r="E606" s="2" t="s">
        <v>16</v>
      </c>
      <c r="F606" s="2">
        <v>11</v>
      </c>
      <c r="G606" s="2">
        <v>197.77</v>
      </c>
      <c r="H606" s="5">
        <v>2175.4699999999998</v>
      </c>
    </row>
    <row r="607" spans="1:8" x14ac:dyDescent="0.25">
      <c r="A607" s="4">
        <v>1606</v>
      </c>
      <c r="B607" s="3">
        <v>45638</v>
      </c>
      <c r="C607" s="2" t="s">
        <v>11</v>
      </c>
      <c r="D607" s="2" t="s">
        <v>9</v>
      </c>
      <c r="E607" s="2" t="s">
        <v>12</v>
      </c>
      <c r="F607" s="2">
        <v>17</v>
      </c>
      <c r="G607" s="2">
        <v>1359.03</v>
      </c>
      <c r="H607" s="5">
        <v>23103.51</v>
      </c>
    </row>
    <row r="608" spans="1:8" x14ac:dyDescent="0.25">
      <c r="A608" s="4">
        <v>1607</v>
      </c>
      <c r="B608" s="3">
        <v>45455</v>
      </c>
      <c r="C608" s="2" t="s">
        <v>8</v>
      </c>
      <c r="D608" s="2" t="s">
        <v>18</v>
      </c>
      <c r="E608" s="2" t="s">
        <v>21</v>
      </c>
      <c r="F608" s="2">
        <v>6</v>
      </c>
      <c r="G608" s="2">
        <v>557.45000000000005</v>
      </c>
      <c r="H608" s="5">
        <v>3344.7</v>
      </c>
    </row>
    <row r="609" spans="1:8" x14ac:dyDescent="0.25">
      <c r="A609" s="4">
        <v>1608</v>
      </c>
      <c r="B609" s="3">
        <v>45401</v>
      </c>
      <c r="C609" s="2" t="s">
        <v>11</v>
      </c>
      <c r="D609" s="2" t="s">
        <v>9</v>
      </c>
      <c r="E609" s="2" t="s">
        <v>21</v>
      </c>
      <c r="F609" s="2">
        <v>15</v>
      </c>
      <c r="G609" s="2">
        <v>733.06</v>
      </c>
      <c r="H609" s="5">
        <v>10995.9</v>
      </c>
    </row>
    <row r="610" spans="1:8" x14ac:dyDescent="0.25">
      <c r="A610" s="4">
        <v>1609</v>
      </c>
      <c r="B610" s="3">
        <v>45554</v>
      </c>
      <c r="C610" s="2" t="s">
        <v>19</v>
      </c>
      <c r="D610" s="2" t="s">
        <v>15</v>
      </c>
      <c r="E610" s="2" t="s">
        <v>16</v>
      </c>
      <c r="F610" s="2">
        <v>16</v>
      </c>
      <c r="G610" s="2">
        <v>354.58</v>
      </c>
      <c r="H610" s="5">
        <v>5673.28</v>
      </c>
    </row>
    <row r="611" spans="1:8" x14ac:dyDescent="0.25">
      <c r="A611" s="4">
        <v>1610</v>
      </c>
      <c r="B611" s="3">
        <v>45317</v>
      </c>
      <c r="C611" s="2" t="s">
        <v>17</v>
      </c>
      <c r="D611" s="2" t="s">
        <v>15</v>
      </c>
      <c r="E611" s="2" t="s">
        <v>12</v>
      </c>
      <c r="F611" s="2">
        <v>18</v>
      </c>
      <c r="G611" s="2">
        <v>978.54</v>
      </c>
      <c r="H611" s="5">
        <v>17613.72</v>
      </c>
    </row>
    <row r="612" spans="1:8" x14ac:dyDescent="0.25">
      <c r="A612" s="4">
        <v>1611</v>
      </c>
      <c r="B612" s="3">
        <v>45592</v>
      </c>
      <c r="C612" s="2" t="s">
        <v>8</v>
      </c>
      <c r="D612" s="2" t="s">
        <v>15</v>
      </c>
      <c r="E612" s="2" t="s">
        <v>21</v>
      </c>
      <c r="F612" s="2">
        <v>18</v>
      </c>
      <c r="G612" s="2">
        <v>1251.05</v>
      </c>
      <c r="H612" s="5">
        <v>22518.9</v>
      </c>
    </row>
    <row r="613" spans="1:8" x14ac:dyDescent="0.25">
      <c r="A613" s="4">
        <v>1612</v>
      </c>
      <c r="B613" s="3">
        <v>45328</v>
      </c>
      <c r="C613" s="2" t="s">
        <v>17</v>
      </c>
      <c r="D613" s="2" t="s">
        <v>18</v>
      </c>
      <c r="E613" s="2" t="s">
        <v>21</v>
      </c>
      <c r="F613" s="2">
        <v>15</v>
      </c>
      <c r="G613" s="2">
        <v>1071.8499999999999</v>
      </c>
      <c r="H613" s="5">
        <v>16077.75</v>
      </c>
    </row>
    <row r="614" spans="1:8" x14ac:dyDescent="0.25">
      <c r="A614" s="4">
        <v>1613</v>
      </c>
      <c r="B614" s="3">
        <v>45482</v>
      </c>
      <c r="C614" s="2" t="s">
        <v>8</v>
      </c>
      <c r="D614" s="2" t="s">
        <v>9</v>
      </c>
      <c r="E614" s="2" t="s">
        <v>16</v>
      </c>
      <c r="F614" s="2">
        <v>9</v>
      </c>
      <c r="G614" s="2">
        <v>392.3</v>
      </c>
      <c r="H614" s="5">
        <v>3530.7</v>
      </c>
    </row>
    <row r="615" spans="1:8" x14ac:dyDescent="0.25">
      <c r="A615" s="4">
        <v>1614</v>
      </c>
      <c r="B615" s="3">
        <v>45410</v>
      </c>
      <c r="C615" s="2" t="s">
        <v>11</v>
      </c>
      <c r="D615" s="2" t="s">
        <v>9</v>
      </c>
      <c r="E615" s="2" t="s">
        <v>14</v>
      </c>
      <c r="F615" s="2">
        <v>5</v>
      </c>
      <c r="G615" s="2">
        <v>1357.53</v>
      </c>
      <c r="H615" s="5">
        <v>6787.65</v>
      </c>
    </row>
    <row r="616" spans="1:8" x14ac:dyDescent="0.25">
      <c r="A616" s="4">
        <v>1615</v>
      </c>
      <c r="B616" s="3">
        <v>45560</v>
      </c>
      <c r="C616" s="2" t="s">
        <v>8</v>
      </c>
      <c r="D616" s="2" t="s">
        <v>20</v>
      </c>
      <c r="E616" s="2" t="s">
        <v>10</v>
      </c>
      <c r="F616" s="2">
        <v>19</v>
      </c>
      <c r="G616" s="2">
        <v>184.54</v>
      </c>
      <c r="H616" s="5">
        <v>3506.26</v>
      </c>
    </row>
    <row r="617" spans="1:8" x14ac:dyDescent="0.25">
      <c r="A617" s="4">
        <v>1616</v>
      </c>
      <c r="B617" s="3">
        <v>45613</v>
      </c>
      <c r="C617" s="2" t="s">
        <v>8</v>
      </c>
      <c r="D617" s="2" t="s">
        <v>20</v>
      </c>
      <c r="E617" s="2" t="s">
        <v>10</v>
      </c>
      <c r="F617" s="2">
        <v>14</v>
      </c>
      <c r="G617" s="2">
        <v>1163.56</v>
      </c>
      <c r="H617" s="5">
        <v>16289.84</v>
      </c>
    </row>
    <row r="618" spans="1:8" x14ac:dyDescent="0.25">
      <c r="A618" s="4">
        <v>1617</v>
      </c>
      <c r="B618" s="3">
        <v>45626</v>
      </c>
      <c r="C618" s="2" t="s">
        <v>8</v>
      </c>
      <c r="D618" s="2" t="s">
        <v>20</v>
      </c>
      <c r="E618" s="2" t="s">
        <v>10</v>
      </c>
      <c r="F618" s="2">
        <v>7</v>
      </c>
      <c r="G618" s="2">
        <v>458.01</v>
      </c>
      <c r="H618" s="5">
        <v>3206.07</v>
      </c>
    </row>
    <row r="619" spans="1:8" x14ac:dyDescent="0.25">
      <c r="A619" s="4">
        <v>1618</v>
      </c>
      <c r="B619" s="3">
        <v>45655</v>
      </c>
      <c r="C619" s="2" t="s">
        <v>11</v>
      </c>
      <c r="D619" s="2" t="s">
        <v>18</v>
      </c>
      <c r="E619" s="2" t="s">
        <v>16</v>
      </c>
      <c r="F619" s="2">
        <v>7</v>
      </c>
      <c r="G619" s="2">
        <v>1077.27</v>
      </c>
      <c r="H619" s="5">
        <v>7540.8899999999994</v>
      </c>
    </row>
    <row r="620" spans="1:8" x14ac:dyDescent="0.25">
      <c r="A620" s="4">
        <v>1619</v>
      </c>
      <c r="B620" s="3">
        <v>45517</v>
      </c>
      <c r="C620" s="2" t="s">
        <v>19</v>
      </c>
      <c r="D620" s="2" t="s">
        <v>18</v>
      </c>
      <c r="E620" s="2" t="s">
        <v>16</v>
      </c>
      <c r="F620" s="2">
        <v>19</v>
      </c>
      <c r="G620" s="2">
        <v>261.13</v>
      </c>
      <c r="H620" s="5">
        <v>4961.47</v>
      </c>
    </row>
    <row r="621" spans="1:8" x14ac:dyDescent="0.25">
      <c r="A621" s="4">
        <v>1620</v>
      </c>
      <c r="B621" s="3">
        <v>45334</v>
      </c>
      <c r="C621" s="2" t="s">
        <v>17</v>
      </c>
      <c r="D621" s="2" t="s">
        <v>20</v>
      </c>
      <c r="E621" s="2" t="s">
        <v>12</v>
      </c>
      <c r="F621" s="2">
        <v>2</v>
      </c>
      <c r="G621" s="2">
        <v>397.8</v>
      </c>
      <c r="H621" s="5">
        <v>795.6</v>
      </c>
    </row>
    <row r="622" spans="1:8" x14ac:dyDescent="0.25">
      <c r="A622" s="4">
        <v>1621</v>
      </c>
      <c r="B622" s="3">
        <v>45595</v>
      </c>
      <c r="C622" s="2" t="s">
        <v>17</v>
      </c>
      <c r="D622" s="2" t="s">
        <v>9</v>
      </c>
      <c r="E622" s="2" t="s">
        <v>10</v>
      </c>
      <c r="F622" s="2">
        <v>3</v>
      </c>
      <c r="G622" s="2">
        <v>1195.1099999999999</v>
      </c>
      <c r="H622" s="5">
        <v>3585.33</v>
      </c>
    </row>
    <row r="623" spans="1:8" x14ac:dyDescent="0.25">
      <c r="A623" s="4">
        <v>1622</v>
      </c>
      <c r="B623" s="3">
        <v>45501</v>
      </c>
      <c r="C623" s="2" t="s">
        <v>17</v>
      </c>
      <c r="D623" s="2" t="s">
        <v>9</v>
      </c>
      <c r="E623" s="2" t="s">
        <v>10</v>
      </c>
      <c r="F623" s="2">
        <v>8</v>
      </c>
      <c r="G623" s="2">
        <v>515.85</v>
      </c>
      <c r="H623" s="5">
        <v>4126.8</v>
      </c>
    </row>
    <row r="624" spans="1:8" x14ac:dyDescent="0.25">
      <c r="A624" s="4">
        <v>1623</v>
      </c>
      <c r="B624" s="3">
        <v>45591</v>
      </c>
      <c r="C624" s="2" t="s">
        <v>13</v>
      </c>
      <c r="D624" s="2" t="s">
        <v>20</v>
      </c>
      <c r="E624" s="2" t="s">
        <v>10</v>
      </c>
      <c r="F624" s="2">
        <v>1</v>
      </c>
      <c r="G624" s="2">
        <v>377.57</v>
      </c>
      <c r="H624" s="5">
        <v>377.57</v>
      </c>
    </row>
    <row r="625" spans="1:8" x14ac:dyDescent="0.25">
      <c r="A625" s="4">
        <v>1624</v>
      </c>
      <c r="B625" s="3">
        <v>45403</v>
      </c>
      <c r="C625" s="2" t="s">
        <v>8</v>
      </c>
      <c r="D625" s="2" t="s">
        <v>15</v>
      </c>
      <c r="E625" s="2" t="s">
        <v>12</v>
      </c>
      <c r="F625" s="2">
        <v>12</v>
      </c>
      <c r="G625" s="2">
        <v>1367.67</v>
      </c>
      <c r="H625" s="5">
        <v>16412.04</v>
      </c>
    </row>
    <row r="626" spans="1:8" x14ac:dyDescent="0.25">
      <c r="A626" s="4">
        <v>1625</v>
      </c>
      <c r="B626" s="3">
        <v>45566</v>
      </c>
      <c r="C626" s="2" t="s">
        <v>13</v>
      </c>
      <c r="D626" s="2" t="s">
        <v>9</v>
      </c>
      <c r="E626" s="2" t="s">
        <v>12</v>
      </c>
      <c r="F626" s="2">
        <v>16</v>
      </c>
      <c r="G626" s="2">
        <v>1117.0999999999999</v>
      </c>
      <c r="H626" s="5">
        <v>17873.599999999999</v>
      </c>
    </row>
    <row r="627" spans="1:8" x14ac:dyDescent="0.25">
      <c r="A627" s="4">
        <v>1626</v>
      </c>
      <c r="B627" s="3">
        <v>45656</v>
      </c>
      <c r="C627" s="2" t="s">
        <v>11</v>
      </c>
      <c r="D627" s="2" t="s">
        <v>9</v>
      </c>
      <c r="E627" s="2" t="s">
        <v>14</v>
      </c>
      <c r="F627" s="2">
        <v>14</v>
      </c>
      <c r="G627" s="2">
        <v>473.47</v>
      </c>
      <c r="H627" s="5">
        <v>6628.58</v>
      </c>
    </row>
    <row r="628" spans="1:8" x14ac:dyDescent="0.25">
      <c r="A628" s="4">
        <v>1627</v>
      </c>
      <c r="B628" s="3">
        <v>45440</v>
      </c>
      <c r="C628" s="2" t="s">
        <v>17</v>
      </c>
      <c r="D628" s="2" t="s">
        <v>9</v>
      </c>
      <c r="E628" s="2" t="s">
        <v>10</v>
      </c>
      <c r="F628" s="2">
        <v>14</v>
      </c>
      <c r="G628" s="2">
        <v>1353.59</v>
      </c>
      <c r="H628" s="5">
        <v>18950.259999999998</v>
      </c>
    </row>
    <row r="629" spans="1:8" x14ac:dyDescent="0.25">
      <c r="A629" s="4">
        <v>1628</v>
      </c>
      <c r="B629" s="3">
        <v>45553</v>
      </c>
      <c r="C629" s="2" t="s">
        <v>8</v>
      </c>
      <c r="D629" s="2" t="s">
        <v>9</v>
      </c>
      <c r="E629" s="2" t="s">
        <v>16</v>
      </c>
      <c r="F629" s="2">
        <v>15</v>
      </c>
      <c r="G629" s="2">
        <v>280.57</v>
      </c>
      <c r="H629" s="5">
        <v>4208.55</v>
      </c>
    </row>
    <row r="630" spans="1:8" x14ac:dyDescent="0.25">
      <c r="A630" s="4">
        <v>1629</v>
      </c>
      <c r="B630" s="3">
        <v>45338</v>
      </c>
      <c r="C630" s="2" t="s">
        <v>17</v>
      </c>
      <c r="D630" s="2" t="s">
        <v>18</v>
      </c>
      <c r="E630" s="2" t="s">
        <v>16</v>
      </c>
      <c r="F630" s="2">
        <v>14</v>
      </c>
      <c r="G630" s="2">
        <v>267.63</v>
      </c>
      <c r="H630" s="5">
        <v>3746.82</v>
      </c>
    </row>
    <row r="631" spans="1:8" x14ac:dyDescent="0.25">
      <c r="A631" s="4">
        <v>1630</v>
      </c>
      <c r="B631" s="3">
        <v>45605</v>
      </c>
      <c r="C631" s="2" t="s">
        <v>11</v>
      </c>
      <c r="D631" s="2" t="s">
        <v>18</v>
      </c>
      <c r="E631" s="2" t="s">
        <v>10</v>
      </c>
      <c r="F631" s="2">
        <v>16</v>
      </c>
      <c r="G631" s="2">
        <v>710.07</v>
      </c>
      <c r="H631" s="5">
        <v>11361.12</v>
      </c>
    </row>
    <row r="632" spans="1:8" x14ac:dyDescent="0.25">
      <c r="A632" s="4">
        <v>1631</v>
      </c>
      <c r="B632" s="3">
        <v>45473</v>
      </c>
      <c r="C632" s="2" t="s">
        <v>11</v>
      </c>
      <c r="D632" s="2" t="s">
        <v>15</v>
      </c>
      <c r="E632" s="2" t="s">
        <v>12</v>
      </c>
      <c r="F632" s="2">
        <v>9</v>
      </c>
      <c r="G632" s="2">
        <v>524.24</v>
      </c>
      <c r="H632" s="5">
        <v>4718.16</v>
      </c>
    </row>
    <row r="633" spans="1:8" x14ac:dyDescent="0.25">
      <c r="A633" s="4">
        <v>1632</v>
      </c>
      <c r="B633" s="3">
        <v>45593</v>
      </c>
      <c r="C633" s="2" t="s">
        <v>17</v>
      </c>
      <c r="D633" s="2" t="s">
        <v>9</v>
      </c>
      <c r="E633" s="2" t="s">
        <v>21</v>
      </c>
      <c r="F633" s="2">
        <v>18</v>
      </c>
      <c r="G633" s="2">
        <v>1030.6400000000001</v>
      </c>
      <c r="H633" s="5">
        <v>18551.52</v>
      </c>
    </row>
    <row r="634" spans="1:8" x14ac:dyDescent="0.25">
      <c r="A634" s="4">
        <v>1633</v>
      </c>
      <c r="B634" s="3">
        <v>45581</v>
      </c>
      <c r="C634" s="2" t="s">
        <v>13</v>
      </c>
      <c r="D634" s="2" t="s">
        <v>15</v>
      </c>
      <c r="E634" s="2" t="s">
        <v>16</v>
      </c>
      <c r="F634" s="2">
        <v>8</v>
      </c>
      <c r="G634" s="2">
        <v>1171.46</v>
      </c>
      <c r="H634" s="5">
        <v>9371.68</v>
      </c>
    </row>
    <row r="635" spans="1:8" x14ac:dyDescent="0.25">
      <c r="A635" s="4">
        <v>1634</v>
      </c>
      <c r="B635" s="3">
        <v>45505</v>
      </c>
      <c r="C635" s="2" t="s">
        <v>17</v>
      </c>
      <c r="D635" s="2" t="s">
        <v>18</v>
      </c>
      <c r="E635" s="2" t="s">
        <v>14</v>
      </c>
      <c r="F635" s="2">
        <v>12</v>
      </c>
      <c r="G635" s="2">
        <v>1460.97</v>
      </c>
      <c r="H635" s="5">
        <v>17531.64</v>
      </c>
    </row>
    <row r="636" spans="1:8" x14ac:dyDescent="0.25">
      <c r="A636" s="4">
        <v>1635</v>
      </c>
      <c r="B636" s="3">
        <v>45524</v>
      </c>
      <c r="C636" s="2" t="s">
        <v>17</v>
      </c>
      <c r="D636" s="2" t="s">
        <v>9</v>
      </c>
      <c r="E636" s="2" t="s">
        <v>12</v>
      </c>
      <c r="F636" s="2">
        <v>3</v>
      </c>
      <c r="G636" s="2">
        <v>1056.3499999999999</v>
      </c>
      <c r="H636" s="5">
        <v>3169.05</v>
      </c>
    </row>
    <row r="637" spans="1:8" x14ac:dyDescent="0.25">
      <c r="A637" s="4">
        <v>1636</v>
      </c>
      <c r="B637" s="3">
        <v>45561</v>
      </c>
      <c r="C637" s="2" t="s">
        <v>19</v>
      </c>
      <c r="D637" s="2" t="s">
        <v>20</v>
      </c>
      <c r="E637" s="2" t="s">
        <v>10</v>
      </c>
      <c r="F637" s="2">
        <v>16</v>
      </c>
      <c r="G637" s="2">
        <v>100.74</v>
      </c>
      <c r="H637" s="5">
        <v>1611.84</v>
      </c>
    </row>
    <row r="638" spans="1:8" x14ac:dyDescent="0.25">
      <c r="A638" s="4">
        <v>1637</v>
      </c>
      <c r="B638" s="3">
        <v>45503</v>
      </c>
      <c r="C638" s="2" t="s">
        <v>19</v>
      </c>
      <c r="D638" s="2" t="s">
        <v>18</v>
      </c>
      <c r="E638" s="2" t="s">
        <v>14</v>
      </c>
      <c r="F638" s="2">
        <v>7</v>
      </c>
      <c r="G638" s="2">
        <v>370.01</v>
      </c>
      <c r="H638" s="5">
        <v>2590.0700000000002</v>
      </c>
    </row>
    <row r="639" spans="1:8" x14ac:dyDescent="0.25">
      <c r="A639" s="4">
        <v>1638</v>
      </c>
      <c r="B639" s="3">
        <v>45632</v>
      </c>
      <c r="C639" s="2" t="s">
        <v>17</v>
      </c>
      <c r="D639" s="2" t="s">
        <v>20</v>
      </c>
      <c r="E639" s="2" t="s">
        <v>21</v>
      </c>
      <c r="F639" s="2">
        <v>16</v>
      </c>
      <c r="G639" s="2">
        <v>1145.1300000000001</v>
      </c>
      <c r="H639" s="5">
        <v>18322.080000000002</v>
      </c>
    </row>
    <row r="640" spans="1:8" x14ac:dyDescent="0.25">
      <c r="A640" s="4">
        <v>1639</v>
      </c>
      <c r="B640" s="3">
        <v>45531</v>
      </c>
      <c r="C640" s="2" t="s">
        <v>17</v>
      </c>
      <c r="D640" s="2" t="s">
        <v>20</v>
      </c>
      <c r="E640" s="2" t="s">
        <v>10</v>
      </c>
      <c r="F640" s="2">
        <v>6</v>
      </c>
      <c r="G640" s="2">
        <v>443.05</v>
      </c>
      <c r="H640" s="5">
        <v>2658.3</v>
      </c>
    </row>
    <row r="641" spans="1:8" x14ac:dyDescent="0.25">
      <c r="A641" s="4">
        <v>1640</v>
      </c>
      <c r="B641" s="3">
        <v>45574</v>
      </c>
      <c r="C641" s="2" t="s">
        <v>11</v>
      </c>
      <c r="D641" s="2" t="s">
        <v>18</v>
      </c>
      <c r="E641" s="2" t="s">
        <v>16</v>
      </c>
      <c r="F641" s="2">
        <v>4</v>
      </c>
      <c r="G641" s="2">
        <v>626.34</v>
      </c>
      <c r="H641" s="5">
        <v>2505.36</v>
      </c>
    </row>
    <row r="642" spans="1:8" x14ac:dyDescent="0.25">
      <c r="A642" s="4">
        <v>1641</v>
      </c>
      <c r="B642" s="3">
        <v>45531</v>
      </c>
      <c r="C642" s="2" t="s">
        <v>8</v>
      </c>
      <c r="D642" s="2" t="s">
        <v>9</v>
      </c>
      <c r="E642" s="2" t="s">
        <v>12</v>
      </c>
      <c r="F642" s="2">
        <v>2</v>
      </c>
      <c r="G642" s="2">
        <v>540.15</v>
      </c>
      <c r="H642" s="5">
        <v>1080.3</v>
      </c>
    </row>
    <row r="643" spans="1:8" x14ac:dyDescent="0.25">
      <c r="A643" s="4">
        <v>1642</v>
      </c>
      <c r="B643" s="3">
        <v>45353</v>
      </c>
      <c r="C643" s="2" t="s">
        <v>8</v>
      </c>
      <c r="D643" s="2" t="s">
        <v>15</v>
      </c>
      <c r="E643" s="2" t="s">
        <v>12</v>
      </c>
      <c r="F643" s="2">
        <v>15</v>
      </c>
      <c r="G643" s="2">
        <v>1332.78</v>
      </c>
      <c r="H643" s="5">
        <v>19991.7</v>
      </c>
    </row>
    <row r="644" spans="1:8" x14ac:dyDescent="0.25">
      <c r="A644" s="4">
        <v>1643</v>
      </c>
      <c r="B644" s="3">
        <v>45499</v>
      </c>
      <c r="C644" s="2" t="s">
        <v>11</v>
      </c>
      <c r="D644" s="2" t="s">
        <v>20</v>
      </c>
      <c r="E644" s="2" t="s">
        <v>16</v>
      </c>
      <c r="F644" s="2">
        <v>16</v>
      </c>
      <c r="G644" s="2">
        <v>847.23</v>
      </c>
      <c r="H644" s="5">
        <v>13555.68</v>
      </c>
    </row>
    <row r="645" spans="1:8" x14ac:dyDescent="0.25">
      <c r="A645" s="4">
        <v>1644</v>
      </c>
      <c r="B645" s="3">
        <v>45647</v>
      </c>
      <c r="C645" s="2" t="s">
        <v>13</v>
      </c>
      <c r="D645" s="2" t="s">
        <v>20</v>
      </c>
      <c r="E645" s="2" t="s">
        <v>14</v>
      </c>
      <c r="F645" s="2">
        <v>13</v>
      </c>
      <c r="G645" s="2">
        <v>358.55</v>
      </c>
      <c r="H645" s="5">
        <v>4661.1500000000005</v>
      </c>
    </row>
    <row r="646" spans="1:8" x14ac:dyDescent="0.25">
      <c r="A646" s="4">
        <v>1645</v>
      </c>
      <c r="B646" s="3">
        <v>45467</v>
      </c>
      <c r="C646" s="2" t="s">
        <v>8</v>
      </c>
      <c r="D646" s="2" t="s">
        <v>15</v>
      </c>
      <c r="E646" s="2" t="s">
        <v>16</v>
      </c>
      <c r="F646" s="2">
        <v>3</v>
      </c>
      <c r="G646" s="2">
        <v>729.18</v>
      </c>
      <c r="H646" s="5">
        <v>2187.54</v>
      </c>
    </row>
    <row r="647" spans="1:8" x14ac:dyDescent="0.25">
      <c r="A647" s="4">
        <v>1646</v>
      </c>
      <c r="B647" s="3">
        <v>45432</v>
      </c>
      <c r="C647" s="2" t="s">
        <v>13</v>
      </c>
      <c r="D647" s="2" t="s">
        <v>18</v>
      </c>
      <c r="E647" s="2" t="s">
        <v>14</v>
      </c>
      <c r="F647" s="2">
        <v>15</v>
      </c>
      <c r="G647" s="2">
        <v>143.24</v>
      </c>
      <c r="H647" s="5">
        <v>2148.6</v>
      </c>
    </row>
    <row r="648" spans="1:8" x14ac:dyDescent="0.25">
      <c r="A648" s="4">
        <v>1647</v>
      </c>
      <c r="B648" s="3">
        <v>45376</v>
      </c>
      <c r="C648" s="2" t="s">
        <v>11</v>
      </c>
      <c r="D648" s="2" t="s">
        <v>15</v>
      </c>
      <c r="E648" s="2" t="s">
        <v>10</v>
      </c>
      <c r="F648" s="2">
        <v>13</v>
      </c>
      <c r="G648" s="2">
        <v>518.9</v>
      </c>
      <c r="H648" s="5">
        <v>6745.7</v>
      </c>
    </row>
    <row r="649" spans="1:8" x14ac:dyDescent="0.25">
      <c r="A649" s="4">
        <v>1648</v>
      </c>
      <c r="B649" s="3">
        <v>45555</v>
      </c>
      <c r="C649" s="2" t="s">
        <v>8</v>
      </c>
      <c r="D649" s="2" t="s">
        <v>15</v>
      </c>
      <c r="E649" s="2" t="s">
        <v>14</v>
      </c>
      <c r="F649" s="2">
        <v>1</v>
      </c>
      <c r="G649" s="2">
        <v>1074.73</v>
      </c>
      <c r="H649" s="5">
        <v>1074.73</v>
      </c>
    </row>
    <row r="650" spans="1:8" x14ac:dyDescent="0.25">
      <c r="A650" s="4">
        <v>1649</v>
      </c>
      <c r="B650" s="3">
        <v>45405</v>
      </c>
      <c r="C650" s="2" t="s">
        <v>13</v>
      </c>
      <c r="D650" s="2" t="s">
        <v>18</v>
      </c>
      <c r="E650" s="2" t="s">
        <v>10</v>
      </c>
      <c r="F650" s="2">
        <v>19</v>
      </c>
      <c r="G650" s="2">
        <v>121.08</v>
      </c>
      <c r="H650" s="5">
        <v>2300.52</v>
      </c>
    </row>
    <row r="651" spans="1:8" x14ac:dyDescent="0.25">
      <c r="A651" s="4">
        <v>1650</v>
      </c>
      <c r="B651" s="3">
        <v>45472</v>
      </c>
      <c r="C651" s="2" t="s">
        <v>11</v>
      </c>
      <c r="D651" s="2" t="s">
        <v>15</v>
      </c>
      <c r="E651" s="2" t="s">
        <v>16</v>
      </c>
      <c r="F651" s="2">
        <v>6</v>
      </c>
      <c r="G651" s="2">
        <v>243.17</v>
      </c>
      <c r="H651" s="5">
        <v>1459.02</v>
      </c>
    </row>
    <row r="652" spans="1:8" x14ac:dyDescent="0.25">
      <c r="A652" s="4">
        <v>1651</v>
      </c>
      <c r="B652" s="3">
        <v>45537</v>
      </c>
      <c r="C652" s="2" t="s">
        <v>19</v>
      </c>
      <c r="D652" s="2" t="s">
        <v>9</v>
      </c>
      <c r="E652" s="2" t="s">
        <v>10</v>
      </c>
      <c r="F652" s="2">
        <v>1</v>
      </c>
      <c r="G652" s="2">
        <v>1491.87</v>
      </c>
      <c r="H652" s="5">
        <v>1491.87</v>
      </c>
    </row>
    <row r="653" spans="1:8" x14ac:dyDescent="0.25">
      <c r="A653" s="4">
        <v>1652</v>
      </c>
      <c r="B653" s="3">
        <v>45603</v>
      </c>
      <c r="C653" s="2" t="s">
        <v>19</v>
      </c>
      <c r="D653" s="2" t="s">
        <v>15</v>
      </c>
      <c r="E653" s="2" t="s">
        <v>21</v>
      </c>
      <c r="F653" s="2">
        <v>18</v>
      </c>
      <c r="G653" s="2">
        <v>225.77</v>
      </c>
      <c r="H653" s="5">
        <v>4063.86</v>
      </c>
    </row>
    <row r="654" spans="1:8" x14ac:dyDescent="0.25">
      <c r="A654" s="4">
        <v>1653</v>
      </c>
      <c r="B654" s="3">
        <v>45403</v>
      </c>
      <c r="C654" s="2" t="s">
        <v>8</v>
      </c>
      <c r="D654" s="2" t="s">
        <v>9</v>
      </c>
      <c r="E654" s="2" t="s">
        <v>12</v>
      </c>
      <c r="F654" s="2">
        <v>11</v>
      </c>
      <c r="G654" s="2">
        <v>576.69000000000005</v>
      </c>
      <c r="H654" s="5">
        <v>6343.59</v>
      </c>
    </row>
    <row r="655" spans="1:8" x14ac:dyDescent="0.25">
      <c r="A655" s="4">
        <v>1654</v>
      </c>
      <c r="B655" s="3">
        <v>45608</v>
      </c>
      <c r="C655" s="2" t="s">
        <v>13</v>
      </c>
      <c r="D655" s="2" t="s">
        <v>18</v>
      </c>
      <c r="E655" s="2" t="s">
        <v>10</v>
      </c>
      <c r="F655" s="2">
        <v>18</v>
      </c>
      <c r="G655" s="2">
        <v>1266.8499999999999</v>
      </c>
      <c r="H655" s="5">
        <v>22803.3</v>
      </c>
    </row>
    <row r="656" spans="1:8" x14ac:dyDescent="0.25">
      <c r="A656" s="4">
        <v>1655</v>
      </c>
      <c r="B656" s="3">
        <v>45420</v>
      </c>
      <c r="C656" s="2" t="s">
        <v>19</v>
      </c>
      <c r="D656" s="2" t="s">
        <v>20</v>
      </c>
      <c r="E656" s="2" t="s">
        <v>16</v>
      </c>
      <c r="F656" s="2">
        <v>3</v>
      </c>
      <c r="G656" s="2">
        <v>478.63</v>
      </c>
      <c r="H656" s="5">
        <v>1435.89</v>
      </c>
    </row>
    <row r="657" spans="1:8" x14ac:dyDescent="0.25">
      <c r="A657" s="4">
        <v>1656</v>
      </c>
      <c r="B657" s="3">
        <v>45416</v>
      </c>
      <c r="C657" s="2" t="s">
        <v>13</v>
      </c>
      <c r="D657" s="2" t="s">
        <v>15</v>
      </c>
      <c r="E657" s="2" t="s">
        <v>21</v>
      </c>
      <c r="F657" s="2">
        <v>8</v>
      </c>
      <c r="G657" s="2">
        <v>1171.1400000000001</v>
      </c>
      <c r="H657" s="5">
        <v>9369.1200000000008</v>
      </c>
    </row>
    <row r="658" spans="1:8" x14ac:dyDescent="0.25">
      <c r="A658" s="4">
        <v>1657</v>
      </c>
      <c r="B658" s="3">
        <v>45538</v>
      </c>
      <c r="C658" s="2" t="s">
        <v>8</v>
      </c>
      <c r="D658" s="2" t="s">
        <v>9</v>
      </c>
      <c r="E658" s="2" t="s">
        <v>12</v>
      </c>
      <c r="F658" s="2">
        <v>10</v>
      </c>
      <c r="G658" s="2">
        <v>1265.94</v>
      </c>
      <c r="H658" s="5">
        <v>12659.4</v>
      </c>
    </row>
    <row r="659" spans="1:8" x14ac:dyDescent="0.25">
      <c r="A659" s="4">
        <v>1658</v>
      </c>
      <c r="B659" s="3">
        <v>45452</v>
      </c>
      <c r="C659" s="2" t="s">
        <v>19</v>
      </c>
      <c r="D659" s="2" t="s">
        <v>15</v>
      </c>
      <c r="E659" s="2" t="s">
        <v>21</v>
      </c>
      <c r="F659" s="2">
        <v>19</v>
      </c>
      <c r="G659" s="2">
        <v>264.27</v>
      </c>
      <c r="H659" s="5">
        <v>5021.1299999999992</v>
      </c>
    </row>
    <row r="660" spans="1:8" x14ac:dyDescent="0.25">
      <c r="A660" s="4">
        <v>1659</v>
      </c>
      <c r="B660" s="3">
        <v>45607</v>
      </c>
      <c r="C660" s="2" t="s">
        <v>11</v>
      </c>
      <c r="D660" s="2" t="s">
        <v>18</v>
      </c>
      <c r="E660" s="2" t="s">
        <v>16</v>
      </c>
      <c r="F660" s="2">
        <v>7</v>
      </c>
      <c r="G660" s="2">
        <v>552.65</v>
      </c>
      <c r="H660" s="5">
        <v>3868.55</v>
      </c>
    </row>
    <row r="661" spans="1:8" x14ac:dyDescent="0.25">
      <c r="A661" s="4">
        <v>1660</v>
      </c>
      <c r="B661" s="3">
        <v>45404</v>
      </c>
      <c r="C661" s="2" t="s">
        <v>8</v>
      </c>
      <c r="D661" s="2" t="s">
        <v>18</v>
      </c>
      <c r="E661" s="2" t="s">
        <v>16</v>
      </c>
      <c r="F661" s="2">
        <v>9</v>
      </c>
      <c r="G661" s="2">
        <v>801.15</v>
      </c>
      <c r="H661" s="5">
        <v>7210.3499999999995</v>
      </c>
    </row>
    <row r="662" spans="1:8" x14ac:dyDescent="0.25">
      <c r="A662" s="4">
        <v>1661</v>
      </c>
      <c r="B662" s="3">
        <v>45333</v>
      </c>
      <c r="C662" s="2" t="s">
        <v>13</v>
      </c>
      <c r="D662" s="2" t="s">
        <v>18</v>
      </c>
      <c r="E662" s="2" t="s">
        <v>21</v>
      </c>
      <c r="F662" s="2">
        <v>8</v>
      </c>
      <c r="G662" s="2">
        <v>1079.81</v>
      </c>
      <c r="H662" s="5">
        <v>8638.48</v>
      </c>
    </row>
    <row r="663" spans="1:8" x14ac:dyDescent="0.25">
      <c r="A663" s="4">
        <v>1662</v>
      </c>
      <c r="B663" s="3">
        <v>45408</v>
      </c>
      <c r="C663" s="2" t="s">
        <v>17</v>
      </c>
      <c r="D663" s="2" t="s">
        <v>15</v>
      </c>
      <c r="E663" s="2" t="s">
        <v>10</v>
      </c>
      <c r="F663" s="2">
        <v>13</v>
      </c>
      <c r="G663" s="2">
        <v>1089.75</v>
      </c>
      <c r="H663" s="5">
        <v>14166.75</v>
      </c>
    </row>
    <row r="664" spans="1:8" x14ac:dyDescent="0.25">
      <c r="A664" s="4">
        <v>1663</v>
      </c>
      <c r="B664" s="3">
        <v>45409</v>
      </c>
      <c r="C664" s="2" t="s">
        <v>17</v>
      </c>
      <c r="D664" s="2" t="s">
        <v>15</v>
      </c>
      <c r="E664" s="2" t="s">
        <v>12</v>
      </c>
      <c r="F664" s="2">
        <v>10</v>
      </c>
      <c r="G664" s="2">
        <v>152.81</v>
      </c>
      <c r="H664" s="5">
        <v>1528.1</v>
      </c>
    </row>
    <row r="665" spans="1:8" x14ac:dyDescent="0.25">
      <c r="A665" s="4">
        <v>1664</v>
      </c>
      <c r="B665" s="3">
        <v>45389</v>
      </c>
      <c r="C665" s="2" t="s">
        <v>13</v>
      </c>
      <c r="D665" s="2" t="s">
        <v>15</v>
      </c>
      <c r="E665" s="2" t="s">
        <v>21</v>
      </c>
      <c r="F665" s="2">
        <v>1</v>
      </c>
      <c r="G665" s="2">
        <v>307.64</v>
      </c>
      <c r="H665" s="5">
        <v>307.64</v>
      </c>
    </row>
    <row r="666" spans="1:8" x14ac:dyDescent="0.25">
      <c r="A666" s="4">
        <v>1665</v>
      </c>
      <c r="B666" s="3">
        <v>45595</v>
      </c>
      <c r="C666" s="2" t="s">
        <v>17</v>
      </c>
      <c r="D666" s="2" t="s">
        <v>20</v>
      </c>
      <c r="E666" s="2" t="s">
        <v>21</v>
      </c>
      <c r="F666" s="2">
        <v>10</v>
      </c>
      <c r="G666" s="2">
        <v>1379.31</v>
      </c>
      <c r="H666" s="5">
        <v>13793.1</v>
      </c>
    </row>
    <row r="667" spans="1:8" x14ac:dyDescent="0.25">
      <c r="A667" s="4">
        <v>1666</v>
      </c>
      <c r="B667" s="3">
        <v>45586</v>
      </c>
      <c r="C667" s="2" t="s">
        <v>11</v>
      </c>
      <c r="D667" s="2" t="s">
        <v>9</v>
      </c>
      <c r="E667" s="2" t="s">
        <v>14</v>
      </c>
      <c r="F667" s="2">
        <v>7</v>
      </c>
      <c r="G667" s="2">
        <v>753.11</v>
      </c>
      <c r="H667" s="5">
        <v>5271.77</v>
      </c>
    </row>
    <row r="668" spans="1:8" x14ac:dyDescent="0.25">
      <c r="A668" s="4">
        <v>1667</v>
      </c>
      <c r="B668" s="3">
        <v>45470</v>
      </c>
      <c r="C668" s="2" t="s">
        <v>13</v>
      </c>
      <c r="D668" s="2" t="s">
        <v>18</v>
      </c>
      <c r="E668" s="2" t="s">
        <v>16</v>
      </c>
      <c r="F668" s="2">
        <v>7</v>
      </c>
      <c r="G668" s="2">
        <v>128.59</v>
      </c>
      <c r="H668" s="5">
        <v>900.13</v>
      </c>
    </row>
    <row r="669" spans="1:8" x14ac:dyDescent="0.25">
      <c r="A669" s="4">
        <v>1668</v>
      </c>
      <c r="B669" s="3">
        <v>45645</v>
      </c>
      <c r="C669" s="2" t="s">
        <v>11</v>
      </c>
      <c r="D669" s="2" t="s">
        <v>15</v>
      </c>
      <c r="E669" s="2" t="s">
        <v>16</v>
      </c>
      <c r="F669" s="2">
        <v>7</v>
      </c>
      <c r="G669" s="2">
        <v>1211.5899999999999</v>
      </c>
      <c r="H669" s="5">
        <v>8481.1299999999992</v>
      </c>
    </row>
    <row r="670" spans="1:8" x14ac:dyDescent="0.25">
      <c r="A670" s="4">
        <v>1669</v>
      </c>
      <c r="B670" s="3">
        <v>45403</v>
      </c>
      <c r="C670" s="2" t="s">
        <v>17</v>
      </c>
      <c r="D670" s="2" t="s">
        <v>18</v>
      </c>
      <c r="E670" s="2" t="s">
        <v>10</v>
      </c>
      <c r="F670" s="2">
        <v>8</v>
      </c>
      <c r="G670" s="2">
        <v>832.46</v>
      </c>
      <c r="H670" s="5">
        <v>6659.68</v>
      </c>
    </row>
    <row r="671" spans="1:8" x14ac:dyDescent="0.25">
      <c r="A671" s="4">
        <v>1670</v>
      </c>
      <c r="B671" s="3">
        <v>45323</v>
      </c>
      <c r="C671" s="2" t="s">
        <v>11</v>
      </c>
      <c r="D671" s="2" t="s">
        <v>15</v>
      </c>
      <c r="E671" s="2" t="s">
        <v>10</v>
      </c>
      <c r="F671" s="2">
        <v>17</v>
      </c>
      <c r="G671" s="2">
        <v>977.9</v>
      </c>
      <c r="H671" s="5">
        <v>16624.3</v>
      </c>
    </row>
    <row r="672" spans="1:8" x14ac:dyDescent="0.25">
      <c r="A672" s="4">
        <v>1671</v>
      </c>
      <c r="B672" s="3">
        <v>45641</v>
      </c>
      <c r="C672" s="2" t="s">
        <v>8</v>
      </c>
      <c r="D672" s="2" t="s">
        <v>15</v>
      </c>
      <c r="E672" s="2" t="s">
        <v>10</v>
      </c>
      <c r="F672" s="2">
        <v>9</v>
      </c>
      <c r="G672" s="2">
        <v>261.48</v>
      </c>
      <c r="H672" s="5">
        <v>2353.3200000000002</v>
      </c>
    </row>
    <row r="673" spans="1:8" x14ac:dyDescent="0.25">
      <c r="A673" s="4">
        <v>1672</v>
      </c>
      <c r="B673" s="3">
        <v>45625</v>
      </c>
      <c r="C673" s="2" t="s">
        <v>8</v>
      </c>
      <c r="D673" s="2" t="s">
        <v>18</v>
      </c>
      <c r="E673" s="2" t="s">
        <v>14</v>
      </c>
      <c r="F673" s="2">
        <v>4</v>
      </c>
      <c r="G673" s="2">
        <v>1438.37</v>
      </c>
      <c r="H673" s="5">
        <v>5753.48</v>
      </c>
    </row>
    <row r="674" spans="1:8" x14ac:dyDescent="0.25">
      <c r="A674" s="4">
        <v>1673</v>
      </c>
      <c r="B674" s="3">
        <v>45326</v>
      </c>
      <c r="C674" s="2" t="s">
        <v>11</v>
      </c>
      <c r="D674" s="2" t="s">
        <v>20</v>
      </c>
      <c r="E674" s="2" t="s">
        <v>14</v>
      </c>
      <c r="F674" s="2">
        <v>13</v>
      </c>
      <c r="G674" s="2">
        <v>1469.37</v>
      </c>
      <c r="H674" s="5">
        <v>19101.810000000001</v>
      </c>
    </row>
    <row r="675" spans="1:8" x14ac:dyDescent="0.25">
      <c r="A675" s="4">
        <v>1674</v>
      </c>
      <c r="B675" s="3">
        <v>45305</v>
      </c>
      <c r="C675" s="2" t="s">
        <v>8</v>
      </c>
      <c r="D675" s="2" t="s">
        <v>15</v>
      </c>
      <c r="E675" s="2" t="s">
        <v>16</v>
      </c>
      <c r="F675" s="2">
        <v>2</v>
      </c>
      <c r="G675" s="2">
        <v>898.34</v>
      </c>
      <c r="H675" s="5">
        <v>1796.68</v>
      </c>
    </row>
    <row r="676" spans="1:8" x14ac:dyDescent="0.25">
      <c r="A676" s="4">
        <v>1675</v>
      </c>
      <c r="B676" s="3">
        <v>45410</v>
      </c>
      <c r="C676" s="2" t="s">
        <v>17</v>
      </c>
      <c r="D676" s="2" t="s">
        <v>9</v>
      </c>
      <c r="E676" s="2" t="s">
        <v>14</v>
      </c>
      <c r="F676" s="2">
        <v>16</v>
      </c>
      <c r="G676" s="2">
        <v>186.6</v>
      </c>
      <c r="H676" s="5">
        <v>2985.6</v>
      </c>
    </row>
    <row r="677" spans="1:8" x14ac:dyDescent="0.25">
      <c r="A677" s="4">
        <v>1676</v>
      </c>
      <c r="B677" s="3">
        <v>45485</v>
      </c>
      <c r="C677" s="2" t="s">
        <v>8</v>
      </c>
      <c r="D677" s="2" t="s">
        <v>18</v>
      </c>
      <c r="E677" s="2" t="s">
        <v>10</v>
      </c>
      <c r="F677" s="2">
        <v>4</v>
      </c>
      <c r="G677" s="2">
        <v>263.87</v>
      </c>
      <c r="H677" s="5">
        <v>1055.48</v>
      </c>
    </row>
    <row r="678" spans="1:8" x14ac:dyDescent="0.25">
      <c r="A678" s="4">
        <v>1677</v>
      </c>
      <c r="B678" s="3">
        <v>45466</v>
      </c>
      <c r="C678" s="2" t="s">
        <v>17</v>
      </c>
      <c r="D678" s="2" t="s">
        <v>20</v>
      </c>
      <c r="E678" s="2" t="s">
        <v>21</v>
      </c>
      <c r="F678" s="2">
        <v>16</v>
      </c>
      <c r="G678" s="2">
        <v>1059.3399999999999</v>
      </c>
      <c r="H678" s="5">
        <v>16949.439999999999</v>
      </c>
    </row>
    <row r="679" spans="1:8" x14ac:dyDescent="0.25">
      <c r="A679" s="4">
        <v>1678</v>
      </c>
      <c r="B679" s="3">
        <v>45402</v>
      </c>
      <c r="C679" s="2" t="s">
        <v>11</v>
      </c>
      <c r="D679" s="2" t="s">
        <v>9</v>
      </c>
      <c r="E679" s="2" t="s">
        <v>21</v>
      </c>
      <c r="F679" s="2">
        <v>13</v>
      </c>
      <c r="G679" s="2">
        <v>539.94000000000005</v>
      </c>
      <c r="H679" s="5">
        <v>7019.2200000000012</v>
      </c>
    </row>
    <row r="680" spans="1:8" x14ac:dyDescent="0.25">
      <c r="A680" s="4">
        <v>1679</v>
      </c>
      <c r="B680" s="3">
        <v>45637</v>
      </c>
      <c r="C680" s="2" t="s">
        <v>13</v>
      </c>
      <c r="D680" s="2" t="s">
        <v>15</v>
      </c>
      <c r="E680" s="2" t="s">
        <v>10</v>
      </c>
      <c r="F680" s="2">
        <v>4</v>
      </c>
      <c r="G680" s="2">
        <v>1190.33</v>
      </c>
      <c r="H680" s="5">
        <v>4761.32</v>
      </c>
    </row>
    <row r="681" spans="1:8" x14ac:dyDescent="0.25">
      <c r="A681" s="4">
        <v>1680</v>
      </c>
      <c r="B681" s="3">
        <v>45648</v>
      </c>
      <c r="C681" s="2" t="s">
        <v>11</v>
      </c>
      <c r="D681" s="2" t="s">
        <v>15</v>
      </c>
      <c r="E681" s="2" t="s">
        <v>14</v>
      </c>
      <c r="F681" s="2">
        <v>1</v>
      </c>
      <c r="G681" s="2">
        <v>1138</v>
      </c>
      <c r="H681" s="5">
        <v>1138</v>
      </c>
    </row>
    <row r="682" spans="1:8" x14ac:dyDescent="0.25">
      <c r="A682" s="4">
        <v>1681</v>
      </c>
      <c r="B682" s="3">
        <v>45479</v>
      </c>
      <c r="C682" s="2" t="s">
        <v>8</v>
      </c>
      <c r="D682" s="2" t="s">
        <v>18</v>
      </c>
      <c r="E682" s="2" t="s">
        <v>16</v>
      </c>
      <c r="F682" s="2">
        <v>15</v>
      </c>
      <c r="G682" s="2">
        <v>1063.1300000000001</v>
      </c>
      <c r="H682" s="5">
        <v>15946.95</v>
      </c>
    </row>
    <row r="683" spans="1:8" x14ac:dyDescent="0.25">
      <c r="A683" s="4">
        <v>1682</v>
      </c>
      <c r="B683" s="3">
        <v>45405</v>
      </c>
      <c r="C683" s="2" t="s">
        <v>17</v>
      </c>
      <c r="D683" s="2" t="s">
        <v>18</v>
      </c>
      <c r="E683" s="2" t="s">
        <v>16</v>
      </c>
      <c r="F683" s="2">
        <v>4</v>
      </c>
      <c r="G683" s="2">
        <v>554.97</v>
      </c>
      <c r="H683" s="5">
        <v>2219.88</v>
      </c>
    </row>
    <row r="684" spans="1:8" x14ac:dyDescent="0.25">
      <c r="A684" s="4">
        <v>1683</v>
      </c>
      <c r="B684" s="3">
        <v>45387</v>
      </c>
      <c r="C684" s="2" t="s">
        <v>13</v>
      </c>
      <c r="D684" s="2" t="s">
        <v>15</v>
      </c>
      <c r="E684" s="2" t="s">
        <v>14</v>
      </c>
      <c r="F684" s="2">
        <v>16</v>
      </c>
      <c r="G684" s="2">
        <v>701.31</v>
      </c>
      <c r="H684" s="5">
        <v>11220.96</v>
      </c>
    </row>
    <row r="685" spans="1:8" x14ac:dyDescent="0.25">
      <c r="A685" s="4">
        <v>1684</v>
      </c>
      <c r="B685" s="3">
        <v>45323</v>
      </c>
      <c r="C685" s="2" t="s">
        <v>11</v>
      </c>
      <c r="D685" s="2" t="s">
        <v>18</v>
      </c>
      <c r="E685" s="2" t="s">
        <v>21</v>
      </c>
      <c r="F685" s="2">
        <v>18</v>
      </c>
      <c r="G685" s="2">
        <v>194.6</v>
      </c>
      <c r="H685" s="5">
        <v>3502.8</v>
      </c>
    </row>
    <row r="686" spans="1:8" x14ac:dyDescent="0.25">
      <c r="A686" s="4">
        <v>1685</v>
      </c>
      <c r="B686" s="3">
        <v>45586</v>
      </c>
      <c r="C686" s="2" t="s">
        <v>11</v>
      </c>
      <c r="D686" s="2" t="s">
        <v>18</v>
      </c>
      <c r="E686" s="2" t="s">
        <v>16</v>
      </c>
      <c r="F686" s="2">
        <v>3</v>
      </c>
      <c r="G686" s="2">
        <v>433.64</v>
      </c>
      <c r="H686" s="5">
        <v>1300.92</v>
      </c>
    </row>
    <row r="687" spans="1:8" x14ac:dyDescent="0.25">
      <c r="A687" s="4">
        <v>1686</v>
      </c>
      <c r="B687" s="3">
        <v>45504</v>
      </c>
      <c r="C687" s="2" t="s">
        <v>17</v>
      </c>
      <c r="D687" s="2" t="s">
        <v>15</v>
      </c>
      <c r="E687" s="2" t="s">
        <v>14</v>
      </c>
      <c r="F687" s="2">
        <v>17</v>
      </c>
      <c r="G687" s="2">
        <v>1093.42</v>
      </c>
      <c r="H687" s="5">
        <v>18588.14</v>
      </c>
    </row>
    <row r="688" spans="1:8" x14ac:dyDescent="0.25">
      <c r="A688" s="4">
        <v>1687</v>
      </c>
      <c r="B688" s="3">
        <v>45343</v>
      </c>
      <c r="C688" s="2" t="s">
        <v>13</v>
      </c>
      <c r="D688" s="2" t="s">
        <v>15</v>
      </c>
      <c r="E688" s="2" t="s">
        <v>12</v>
      </c>
      <c r="F688" s="2">
        <v>9</v>
      </c>
      <c r="G688" s="2">
        <v>1086.82</v>
      </c>
      <c r="H688" s="5">
        <v>9781.3799999999992</v>
      </c>
    </row>
    <row r="689" spans="1:8" x14ac:dyDescent="0.25">
      <c r="A689" s="4">
        <v>1688</v>
      </c>
      <c r="B689" s="3">
        <v>45383</v>
      </c>
      <c r="C689" s="2" t="s">
        <v>19</v>
      </c>
      <c r="D689" s="2" t="s">
        <v>15</v>
      </c>
      <c r="E689" s="2" t="s">
        <v>14</v>
      </c>
      <c r="F689" s="2">
        <v>3</v>
      </c>
      <c r="G689" s="2">
        <v>756.22</v>
      </c>
      <c r="H689" s="5">
        <v>2268.66</v>
      </c>
    </row>
    <row r="690" spans="1:8" x14ac:dyDescent="0.25">
      <c r="A690" s="4">
        <v>1689</v>
      </c>
      <c r="B690" s="3">
        <v>45418</v>
      </c>
      <c r="C690" s="2" t="s">
        <v>8</v>
      </c>
      <c r="D690" s="2" t="s">
        <v>18</v>
      </c>
      <c r="E690" s="2" t="s">
        <v>16</v>
      </c>
      <c r="F690" s="2">
        <v>14</v>
      </c>
      <c r="G690" s="2">
        <v>998.13</v>
      </c>
      <c r="H690" s="5">
        <v>13973.82</v>
      </c>
    </row>
    <row r="691" spans="1:8" x14ac:dyDescent="0.25">
      <c r="A691" s="4">
        <v>1690</v>
      </c>
      <c r="B691" s="3">
        <v>45468</v>
      </c>
      <c r="C691" s="2" t="s">
        <v>19</v>
      </c>
      <c r="D691" s="2" t="s">
        <v>15</v>
      </c>
      <c r="E691" s="2" t="s">
        <v>16</v>
      </c>
      <c r="F691" s="2">
        <v>10</v>
      </c>
      <c r="G691" s="2">
        <v>897.7</v>
      </c>
      <c r="H691" s="5">
        <v>8977</v>
      </c>
    </row>
    <row r="692" spans="1:8" x14ac:dyDescent="0.25">
      <c r="A692" s="4">
        <v>1691</v>
      </c>
      <c r="B692" s="3">
        <v>45649</v>
      </c>
      <c r="C692" s="2" t="s">
        <v>8</v>
      </c>
      <c r="D692" s="2" t="s">
        <v>18</v>
      </c>
      <c r="E692" s="2" t="s">
        <v>16</v>
      </c>
      <c r="F692" s="2">
        <v>3</v>
      </c>
      <c r="G692" s="2">
        <v>1474.66</v>
      </c>
      <c r="H692" s="5">
        <v>4423.9799999999996</v>
      </c>
    </row>
    <row r="693" spans="1:8" x14ac:dyDescent="0.25">
      <c r="A693" s="4">
        <v>1692</v>
      </c>
      <c r="B693" s="3">
        <v>45450</v>
      </c>
      <c r="C693" s="2" t="s">
        <v>13</v>
      </c>
      <c r="D693" s="2" t="s">
        <v>15</v>
      </c>
      <c r="E693" s="2" t="s">
        <v>21</v>
      </c>
      <c r="F693" s="2">
        <v>12</v>
      </c>
      <c r="G693" s="2">
        <v>1280.55</v>
      </c>
      <c r="H693" s="5">
        <v>15366.6</v>
      </c>
    </row>
    <row r="694" spans="1:8" x14ac:dyDescent="0.25">
      <c r="A694" s="4">
        <v>1693</v>
      </c>
      <c r="B694" s="3">
        <v>45292</v>
      </c>
      <c r="C694" s="2" t="s">
        <v>19</v>
      </c>
      <c r="D694" s="2" t="s">
        <v>9</v>
      </c>
      <c r="E694" s="2" t="s">
        <v>21</v>
      </c>
      <c r="F694" s="2">
        <v>14</v>
      </c>
      <c r="G694" s="2">
        <v>760.55</v>
      </c>
      <c r="H694" s="5">
        <v>10647.7</v>
      </c>
    </row>
    <row r="695" spans="1:8" x14ac:dyDescent="0.25">
      <c r="A695" s="4">
        <v>1694</v>
      </c>
      <c r="B695" s="3">
        <v>45454</v>
      </c>
      <c r="C695" s="2" t="s">
        <v>17</v>
      </c>
      <c r="D695" s="2" t="s">
        <v>9</v>
      </c>
      <c r="E695" s="2" t="s">
        <v>12</v>
      </c>
      <c r="F695" s="2">
        <v>14</v>
      </c>
      <c r="G695" s="2">
        <v>463.45</v>
      </c>
      <c r="H695" s="5">
        <v>6488.3</v>
      </c>
    </row>
    <row r="696" spans="1:8" x14ac:dyDescent="0.25">
      <c r="A696" s="4">
        <v>1695</v>
      </c>
      <c r="B696" s="3">
        <v>45384</v>
      </c>
      <c r="C696" s="2" t="s">
        <v>13</v>
      </c>
      <c r="D696" s="2" t="s">
        <v>9</v>
      </c>
      <c r="E696" s="2" t="s">
        <v>16</v>
      </c>
      <c r="F696" s="2">
        <v>7</v>
      </c>
      <c r="G696" s="2">
        <v>1443.75</v>
      </c>
      <c r="H696" s="5">
        <v>10106.25</v>
      </c>
    </row>
    <row r="697" spans="1:8" x14ac:dyDescent="0.25">
      <c r="A697" s="4">
        <v>1696</v>
      </c>
      <c r="B697" s="3">
        <v>45605</v>
      </c>
      <c r="C697" s="2" t="s">
        <v>8</v>
      </c>
      <c r="D697" s="2" t="s">
        <v>15</v>
      </c>
      <c r="E697" s="2" t="s">
        <v>14</v>
      </c>
      <c r="F697" s="2">
        <v>5</v>
      </c>
      <c r="G697" s="2">
        <v>1273.72</v>
      </c>
      <c r="H697" s="5">
        <v>6368.6</v>
      </c>
    </row>
    <row r="698" spans="1:8" x14ac:dyDescent="0.25">
      <c r="A698" s="4">
        <v>1697</v>
      </c>
      <c r="B698" s="3">
        <v>45333</v>
      </c>
      <c r="C698" s="2" t="s">
        <v>11</v>
      </c>
      <c r="D698" s="2" t="s">
        <v>20</v>
      </c>
      <c r="E698" s="2" t="s">
        <v>21</v>
      </c>
      <c r="F698" s="2">
        <v>11</v>
      </c>
      <c r="G698" s="2">
        <v>514.11</v>
      </c>
      <c r="H698" s="5">
        <v>5655.21</v>
      </c>
    </row>
    <row r="699" spans="1:8" x14ac:dyDescent="0.25">
      <c r="A699" s="4">
        <v>1698</v>
      </c>
      <c r="B699" s="3">
        <v>45625</v>
      </c>
      <c r="C699" s="2" t="s">
        <v>11</v>
      </c>
      <c r="D699" s="2" t="s">
        <v>20</v>
      </c>
      <c r="E699" s="2" t="s">
        <v>12</v>
      </c>
      <c r="F699" s="2">
        <v>3</v>
      </c>
      <c r="G699" s="2">
        <v>543.84</v>
      </c>
      <c r="H699" s="5">
        <v>1631.52</v>
      </c>
    </row>
    <row r="700" spans="1:8" x14ac:dyDescent="0.25">
      <c r="A700" s="4">
        <v>1699</v>
      </c>
      <c r="B700" s="3">
        <v>45423</v>
      </c>
      <c r="C700" s="2" t="s">
        <v>13</v>
      </c>
      <c r="D700" s="2" t="s">
        <v>15</v>
      </c>
      <c r="E700" s="2" t="s">
        <v>12</v>
      </c>
      <c r="F700" s="2">
        <v>7</v>
      </c>
      <c r="G700" s="2">
        <v>95.09</v>
      </c>
      <c r="H700" s="5">
        <v>665.63</v>
      </c>
    </row>
    <row r="701" spans="1:8" x14ac:dyDescent="0.25">
      <c r="A701" s="4">
        <v>1700</v>
      </c>
      <c r="B701" s="3">
        <v>45456</v>
      </c>
      <c r="C701" s="2" t="s">
        <v>11</v>
      </c>
      <c r="D701" s="2" t="s">
        <v>15</v>
      </c>
      <c r="E701" s="2" t="s">
        <v>10</v>
      </c>
      <c r="F701" s="2">
        <v>17</v>
      </c>
      <c r="G701" s="2">
        <v>684.22</v>
      </c>
      <c r="H701" s="5">
        <v>11631.74</v>
      </c>
    </row>
    <row r="702" spans="1:8" x14ac:dyDescent="0.25">
      <c r="A702" s="4">
        <v>1701</v>
      </c>
      <c r="B702" s="3">
        <v>45526</v>
      </c>
      <c r="C702" s="2" t="s">
        <v>19</v>
      </c>
      <c r="D702" s="2" t="s">
        <v>15</v>
      </c>
      <c r="E702" s="2" t="s">
        <v>16</v>
      </c>
      <c r="F702" s="2">
        <v>5</v>
      </c>
      <c r="G702" s="2">
        <v>452.45</v>
      </c>
      <c r="H702" s="5">
        <v>2262.25</v>
      </c>
    </row>
    <row r="703" spans="1:8" x14ac:dyDescent="0.25">
      <c r="A703" s="4">
        <v>1702</v>
      </c>
      <c r="B703" s="3">
        <v>45591</v>
      </c>
      <c r="C703" s="2" t="s">
        <v>11</v>
      </c>
      <c r="D703" s="2" t="s">
        <v>20</v>
      </c>
      <c r="E703" s="2" t="s">
        <v>10</v>
      </c>
      <c r="F703" s="2">
        <v>3</v>
      </c>
      <c r="G703" s="2">
        <v>115.18</v>
      </c>
      <c r="H703" s="5">
        <v>345.54</v>
      </c>
    </row>
    <row r="704" spans="1:8" x14ac:dyDescent="0.25">
      <c r="A704" s="4">
        <v>1703</v>
      </c>
      <c r="B704" s="3">
        <v>45493</v>
      </c>
      <c r="C704" s="2" t="s">
        <v>8</v>
      </c>
      <c r="D704" s="2" t="s">
        <v>18</v>
      </c>
      <c r="E704" s="2" t="s">
        <v>16</v>
      </c>
      <c r="F704" s="2">
        <v>5</v>
      </c>
      <c r="G704" s="2">
        <v>253.1</v>
      </c>
      <c r="H704" s="5">
        <v>1265.5</v>
      </c>
    </row>
    <row r="705" spans="1:8" x14ac:dyDescent="0.25">
      <c r="A705" s="4">
        <v>1704</v>
      </c>
      <c r="B705" s="3">
        <v>45522</v>
      </c>
      <c r="C705" s="2" t="s">
        <v>19</v>
      </c>
      <c r="D705" s="2" t="s">
        <v>9</v>
      </c>
      <c r="E705" s="2" t="s">
        <v>10</v>
      </c>
      <c r="F705" s="2">
        <v>8</v>
      </c>
      <c r="G705" s="2">
        <v>431.39</v>
      </c>
      <c r="H705" s="5">
        <v>3451.12</v>
      </c>
    </row>
    <row r="706" spans="1:8" x14ac:dyDescent="0.25">
      <c r="A706" s="4">
        <v>1705</v>
      </c>
      <c r="B706" s="3">
        <v>45420</v>
      </c>
      <c r="C706" s="2" t="s">
        <v>11</v>
      </c>
      <c r="D706" s="2" t="s">
        <v>18</v>
      </c>
      <c r="E706" s="2" t="s">
        <v>10</v>
      </c>
      <c r="F706" s="2">
        <v>10</v>
      </c>
      <c r="G706" s="2">
        <v>300.3</v>
      </c>
      <c r="H706" s="5">
        <v>3003</v>
      </c>
    </row>
    <row r="707" spans="1:8" x14ac:dyDescent="0.25">
      <c r="A707" s="4">
        <v>1706</v>
      </c>
      <c r="B707" s="3">
        <v>45425</v>
      </c>
      <c r="C707" s="2" t="s">
        <v>17</v>
      </c>
      <c r="D707" s="2" t="s">
        <v>20</v>
      </c>
      <c r="E707" s="2" t="s">
        <v>12</v>
      </c>
      <c r="F707" s="2">
        <v>17</v>
      </c>
      <c r="G707" s="2">
        <v>1357.84</v>
      </c>
      <c r="H707" s="5">
        <v>23083.279999999999</v>
      </c>
    </row>
    <row r="708" spans="1:8" x14ac:dyDescent="0.25">
      <c r="A708" s="4">
        <v>1707</v>
      </c>
      <c r="B708" s="3">
        <v>45425</v>
      </c>
      <c r="C708" s="2" t="s">
        <v>17</v>
      </c>
      <c r="D708" s="2" t="s">
        <v>15</v>
      </c>
      <c r="E708" s="2" t="s">
        <v>16</v>
      </c>
      <c r="F708" s="2">
        <v>18</v>
      </c>
      <c r="G708" s="2">
        <v>309.39</v>
      </c>
      <c r="H708" s="5">
        <v>5569.02</v>
      </c>
    </row>
    <row r="709" spans="1:8" x14ac:dyDescent="0.25">
      <c r="A709" s="4">
        <v>1708</v>
      </c>
      <c r="B709" s="3">
        <v>45382</v>
      </c>
      <c r="C709" s="2" t="s">
        <v>13</v>
      </c>
      <c r="D709" s="2" t="s">
        <v>9</v>
      </c>
      <c r="E709" s="2" t="s">
        <v>14</v>
      </c>
      <c r="F709" s="2">
        <v>18</v>
      </c>
      <c r="G709" s="2">
        <v>643.30999999999995</v>
      </c>
      <c r="H709" s="5">
        <v>11579.58</v>
      </c>
    </row>
    <row r="710" spans="1:8" x14ac:dyDescent="0.25">
      <c r="A710" s="4">
        <v>1709</v>
      </c>
      <c r="B710" s="3">
        <v>45344</v>
      </c>
      <c r="C710" s="2" t="s">
        <v>8</v>
      </c>
      <c r="D710" s="2" t="s">
        <v>9</v>
      </c>
      <c r="E710" s="2" t="s">
        <v>21</v>
      </c>
      <c r="F710" s="2">
        <v>6</v>
      </c>
      <c r="G710" s="2">
        <v>942.03</v>
      </c>
      <c r="H710" s="5">
        <v>5652.18</v>
      </c>
    </row>
    <row r="711" spans="1:8" x14ac:dyDescent="0.25">
      <c r="A711" s="4">
        <v>1710</v>
      </c>
      <c r="B711" s="3">
        <v>45648</v>
      </c>
      <c r="C711" s="2" t="s">
        <v>17</v>
      </c>
      <c r="D711" s="2" t="s">
        <v>9</v>
      </c>
      <c r="E711" s="2" t="s">
        <v>12</v>
      </c>
      <c r="F711" s="2">
        <v>12</v>
      </c>
      <c r="G711" s="2">
        <v>1495.34</v>
      </c>
      <c r="H711" s="5">
        <v>17944.080000000002</v>
      </c>
    </row>
    <row r="712" spans="1:8" x14ac:dyDescent="0.25">
      <c r="A712" s="4">
        <v>1711</v>
      </c>
      <c r="B712" s="3">
        <v>45445</v>
      </c>
      <c r="C712" s="2" t="s">
        <v>19</v>
      </c>
      <c r="D712" s="2" t="s">
        <v>15</v>
      </c>
      <c r="E712" s="2" t="s">
        <v>21</v>
      </c>
      <c r="F712" s="2">
        <v>7</v>
      </c>
      <c r="G712" s="2">
        <v>637.01</v>
      </c>
      <c r="H712" s="5">
        <v>4459.07</v>
      </c>
    </row>
    <row r="713" spans="1:8" x14ac:dyDescent="0.25">
      <c r="A713" s="4">
        <v>1712</v>
      </c>
      <c r="B713" s="3">
        <v>45322</v>
      </c>
      <c r="C713" s="2" t="s">
        <v>8</v>
      </c>
      <c r="D713" s="2" t="s">
        <v>9</v>
      </c>
      <c r="E713" s="2" t="s">
        <v>16</v>
      </c>
      <c r="F713" s="2">
        <v>10</v>
      </c>
      <c r="G713" s="2">
        <v>1312.5</v>
      </c>
      <c r="H713" s="5">
        <v>13125</v>
      </c>
    </row>
    <row r="714" spans="1:8" x14ac:dyDescent="0.25">
      <c r="A714" s="4">
        <v>1713</v>
      </c>
      <c r="B714" s="3">
        <v>45628</v>
      </c>
      <c r="C714" s="2" t="s">
        <v>11</v>
      </c>
      <c r="D714" s="2" t="s">
        <v>15</v>
      </c>
      <c r="E714" s="2" t="s">
        <v>12</v>
      </c>
      <c r="F714" s="2">
        <v>19</v>
      </c>
      <c r="G714" s="2">
        <v>1090.3800000000001</v>
      </c>
      <c r="H714" s="5">
        <v>20717.22</v>
      </c>
    </row>
    <row r="715" spans="1:8" x14ac:dyDescent="0.25">
      <c r="A715" s="4">
        <v>1714</v>
      </c>
      <c r="B715" s="3">
        <v>45353</v>
      </c>
      <c r="C715" s="2" t="s">
        <v>13</v>
      </c>
      <c r="D715" s="2" t="s">
        <v>15</v>
      </c>
      <c r="E715" s="2" t="s">
        <v>16</v>
      </c>
      <c r="F715" s="2">
        <v>1</v>
      </c>
      <c r="G715" s="2">
        <v>834.48</v>
      </c>
      <c r="H715" s="5">
        <v>834.48</v>
      </c>
    </row>
    <row r="716" spans="1:8" x14ac:dyDescent="0.25">
      <c r="A716" s="4">
        <v>1715</v>
      </c>
      <c r="B716" s="3">
        <v>45449</v>
      </c>
      <c r="C716" s="2" t="s">
        <v>17</v>
      </c>
      <c r="D716" s="2" t="s">
        <v>20</v>
      </c>
      <c r="E716" s="2" t="s">
        <v>21</v>
      </c>
      <c r="F716" s="2">
        <v>1</v>
      </c>
      <c r="G716" s="2">
        <v>1192.32</v>
      </c>
      <c r="H716" s="5">
        <v>1192.32</v>
      </c>
    </row>
    <row r="717" spans="1:8" x14ac:dyDescent="0.25">
      <c r="A717" s="4">
        <v>1716</v>
      </c>
      <c r="B717" s="3">
        <v>45474</v>
      </c>
      <c r="C717" s="2" t="s">
        <v>19</v>
      </c>
      <c r="D717" s="2" t="s">
        <v>20</v>
      </c>
      <c r="E717" s="2" t="s">
        <v>12</v>
      </c>
      <c r="F717" s="2">
        <v>3</v>
      </c>
      <c r="G717" s="2">
        <v>1154.8900000000001</v>
      </c>
      <c r="H717" s="5">
        <v>3464.67</v>
      </c>
    </row>
    <row r="718" spans="1:8" x14ac:dyDescent="0.25">
      <c r="A718" s="4">
        <v>1717</v>
      </c>
      <c r="B718" s="3">
        <v>45484</v>
      </c>
      <c r="C718" s="2" t="s">
        <v>8</v>
      </c>
      <c r="D718" s="2" t="s">
        <v>15</v>
      </c>
      <c r="E718" s="2" t="s">
        <v>12</v>
      </c>
      <c r="F718" s="2">
        <v>11</v>
      </c>
      <c r="G718" s="2">
        <v>993.41</v>
      </c>
      <c r="H718" s="5">
        <v>10927.51</v>
      </c>
    </row>
    <row r="719" spans="1:8" x14ac:dyDescent="0.25">
      <c r="A719" s="4">
        <v>1718</v>
      </c>
      <c r="B719" s="3">
        <v>45554</v>
      </c>
      <c r="C719" s="2" t="s">
        <v>11</v>
      </c>
      <c r="D719" s="2" t="s">
        <v>20</v>
      </c>
      <c r="E719" s="2" t="s">
        <v>16</v>
      </c>
      <c r="F719" s="2">
        <v>1</v>
      </c>
      <c r="G719" s="2">
        <v>713.14</v>
      </c>
      <c r="H719" s="5">
        <v>713.14</v>
      </c>
    </row>
    <row r="720" spans="1:8" x14ac:dyDescent="0.25">
      <c r="A720" s="4">
        <v>1719</v>
      </c>
      <c r="B720" s="3">
        <v>45464</v>
      </c>
      <c r="C720" s="2" t="s">
        <v>19</v>
      </c>
      <c r="D720" s="2" t="s">
        <v>9</v>
      </c>
      <c r="E720" s="2" t="s">
        <v>12</v>
      </c>
      <c r="F720" s="2">
        <v>9</v>
      </c>
      <c r="G720" s="2">
        <v>906.92</v>
      </c>
      <c r="H720" s="5">
        <v>8162.28</v>
      </c>
    </row>
    <row r="721" spans="1:8" x14ac:dyDescent="0.25">
      <c r="A721" s="4">
        <v>1720</v>
      </c>
      <c r="B721" s="3">
        <v>45629</v>
      </c>
      <c r="C721" s="2" t="s">
        <v>19</v>
      </c>
      <c r="D721" s="2" t="s">
        <v>9</v>
      </c>
      <c r="E721" s="2" t="s">
        <v>21</v>
      </c>
      <c r="F721" s="2">
        <v>17</v>
      </c>
      <c r="G721" s="2">
        <v>341.43</v>
      </c>
      <c r="H721" s="5">
        <v>5804.31</v>
      </c>
    </row>
    <row r="722" spans="1:8" x14ac:dyDescent="0.25">
      <c r="A722" s="4">
        <v>1721</v>
      </c>
      <c r="B722" s="3">
        <v>45490</v>
      </c>
      <c r="C722" s="2" t="s">
        <v>19</v>
      </c>
      <c r="D722" s="2" t="s">
        <v>18</v>
      </c>
      <c r="E722" s="2" t="s">
        <v>14</v>
      </c>
      <c r="F722" s="2">
        <v>11</v>
      </c>
      <c r="G722" s="2">
        <v>1476.64</v>
      </c>
      <c r="H722" s="5">
        <v>16243.04</v>
      </c>
    </row>
    <row r="723" spans="1:8" x14ac:dyDescent="0.25">
      <c r="A723" s="4">
        <v>1722</v>
      </c>
      <c r="B723" s="3">
        <v>45496</v>
      </c>
      <c r="C723" s="2" t="s">
        <v>11</v>
      </c>
      <c r="D723" s="2" t="s">
        <v>20</v>
      </c>
      <c r="E723" s="2" t="s">
        <v>14</v>
      </c>
      <c r="F723" s="2">
        <v>1</v>
      </c>
      <c r="G723" s="2">
        <v>622.26</v>
      </c>
      <c r="H723" s="5">
        <v>622.26</v>
      </c>
    </row>
    <row r="724" spans="1:8" x14ac:dyDescent="0.25">
      <c r="A724" s="4">
        <v>1723</v>
      </c>
      <c r="B724" s="3">
        <v>45561</v>
      </c>
      <c r="C724" s="2" t="s">
        <v>13</v>
      </c>
      <c r="D724" s="2" t="s">
        <v>9</v>
      </c>
      <c r="E724" s="2" t="s">
        <v>21</v>
      </c>
      <c r="F724" s="2">
        <v>5</v>
      </c>
      <c r="G724" s="2">
        <v>528.71</v>
      </c>
      <c r="H724" s="5">
        <v>2643.55</v>
      </c>
    </row>
    <row r="725" spans="1:8" x14ac:dyDescent="0.25">
      <c r="A725" s="4">
        <v>1724</v>
      </c>
      <c r="B725" s="3">
        <v>45308</v>
      </c>
      <c r="C725" s="2" t="s">
        <v>13</v>
      </c>
      <c r="D725" s="2" t="s">
        <v>20</v>
      </c>
      <c r="E725" s="2" t="s">
        <v>10</v>
      </c>
      <c r="F725" s="2">
        <v>17</v>
      </c>
      <c r="G725" s="2">
        <v>1142.46</v>
      </c>
      <c r="H725" s="5">
        <v>19421.82</v>
      </c>
    </row>
    <row r="726" spans="1:8" x14ac:dyDescent="0.25">
      <c r="A726" s="4">
        <v>1725</v>
      </c>
      <c r="B726" s="3">
        <v>45421</v>
      </c>
      <c r="C726" s="2" t="s">
        <v>11</v>
      </c>
      <c r="D726" s="2" t="s">
        <v>18</v>
      </c>
      <c r="E726" s="2" t="s">
        <v>14</v>
      </c>
      <c r="F726" s="2">
        <v>14</v>
      </c>
      <c r="G726" s="2">
        <v>1213.5</v>
      </c>
      <c r="H726" s="5">
        <v>16989</v>
      </c>
    </row>
    <row r="727" spans="1:8" x14ac:dyDescent="0.25">
      <c r="A727" s="4">
        <v>1726</v>
      </c>
      <c r="B727" s="3">
        <v>45595</v>
      </c>
      <c r="C727" s="2" t="s">
        <v>17</v>
      </c>
      <c r="D727" s="2" t="s">
        <v>20</v>
      </c>
      <c r="E727" s="2" t="s">
        <v>12</v>
      </c>
      <c r="F727" s="2">
        <v>12</v>
      </c>
      <c r="G727" s="2">
        <v>360.56</v>
      </c>
      <c r="H727" s="5">
        <v>4326.72</v>
      </c>
    </row>
    <row r="728" spans="1:8" x14ac:dyDescent="0.25">
      <c r="A728" s="4">
        <v>1727</v>
      </c>
      <c r="B728" s="3">
        <v>45414</v>
      </c>
      <c r="C728" s="2" t="s">
        <v>11</v>
      </c>
      <c r="D728" s="2" t="s">
        <v>9</v>
      </c>
      <c r="E728" s="2" t="s">
        <v>21</v>
      </c>
      <c r="F728" s="2">
        <v>5</v>
      </c>
      <c r="G728" s="2">
        <v>1491.04</v>
      </c>
      <c r="H728" s="5">
        <v>7455.2</v>
      </c>
    </row>
    <row r="729" spans="1:8" x14ac:dyDescent="0.25">
      <c r="A729" s="4">
        <v>1728</v>
      </c>
      <c r="B729" s="3">
        <v>45403</v>
      </c>
      <c r="C729" s="2" t="s">
        <v>13</v>
      </c>
      <c r="D729" s="2" t="s">
        <v>9</v>
      </c>
      <c r="E729" s="2" t="s">
        <v>14</v>
      </c>
      <c r="F729" s="2">
        <v>9</v>
      </c>
      <c r="G729" s="2">
        <v>724.92</v>
      </c>
      <c r="H729" s="5">
        <v>6524.28</v>
      </c>
    </row>
    <row r="730" spans="1:8" x14ac:dyDescent="0.25">
      <c r="A730" s="4">
        <v>1729</v>
      </c>
      <c r="B730" s="3">
        <v>45360</v>
      </c>
      <c r="C730" s="2" t="s">
        <v>8</v>
      </c>
      <c r="D730" s="2" t="s">
        <v>18</v>
      </c>
      <c r="E730" s="2" t="s">
        <v>10</v>
      </c>
      <c r="F730" s="2">
        <v>14</v>
      </c>
      <c r="G730" s="2">
        <v>574.76</v>
      </c>
      <c r="H730" s="5">
        <v>8046.6399999999994</v>
      </c>
    </row>
    <row r="731" spans="1:8" x14ac:dyDescent="0.25">
      <c r="A731" s="4">
        <v>1730</v>
      </c>
      <c r="B731" s="3">
        <v>45534</v>
      </c>
      <c r="C731" s="2" t="s">
        <v>13</v>
      </c>
      <c r="D731" s="2" t="s">
        <v>18</v>
      </c>
      <c r="E731" s="2" t="s">
        <v>12</v>
      </c>
      <c r="F731" s="2">
        <v>7</v>
      </c>
      <c r="G731" s="2">
        <v>209.05</v>
      </c>
      <c r="H731" s="5">
        <v>1463.35</v>
      </c>
    </row>
    <row r="732" spans="1:8" x14ac:dyDescent="0.25">
      <c r="A732" s="4">
        <v>1731</v>
      </c>
      <c r="B732" s="3">
        <v>45431</v>
      </c>
      <c r="C732" s="2" t="s">
        <v>19</v>
      </c>
      <c r="D732" s="2" t="s">
        <v>15</v>
      </c>
      <c r="E732" s="2" t="s">
        <v>14</v>
      </c>
      <c r="F732" s="2">
        <v>13</v>
      </c>
      <c r="G732" s="2">
        <v>1323.98</v>
      </c>
      <c r="H732" s="5">
        <v>17211.740000000002</v>
      </c>
    </row>
    <row r="733" spans="1:8" x14ac:dyDescent="0.25">
      <c r="A733" s="4">
        <v>1732</v>
      </c>
      <c r="B733" s="3">
        <v>45526</v>
      </c>
      <c r="C733" s="2" t="s">
        <v>11</v>
      </c>
      <c r="D733" s="2" t="s">
        <v>9</v>
      </c>
      <c r="E733" s="2" t="s">
        <v>10</v>
      </c>
      <c r="F733" s="2">
        <v>13</v>
      </c>
      <c r="G733" s="2">
        <v>891.14</v>
      </c>
      <c r="H733" s="5">
        <v>11584.82</v>
      </c>
    </row>
    <row r="734" spans="1:8" x14ac:dyDescent="0.25">
      <c r="A734" s="4">
        <v>1733</v>
      </c>
      <c r="B734" s="3">
        <v>45479</v>
      </c>
      <c r="C734" s="2" t="s">
        <v>13</v>
      </c>
      <c r="D734" s="2" t="s">
        <v>18</v>
      </c>
      <c r="E734" s="2" t="s">
        <v>14</v>
      </c>
      <c r="F734" s="2">
        <v>15</v>
      </c>
      <c r="G734" s="2">
        <v>933.49</v>
      </c>
      <c r="H734" s="5">
        <v>14002.35</v>
      </c>
    </row>
    <row r="735" spans="1:8" x14ac:dyDescent="0.25">
      <c r="A735" s="4">
        <v>1734</v>
      </c>
      <c r="B735" s="3">
        <v>45537</v>
      </c>
      <c r="C735" s="2" t="s">
        <v>8</v>
      </c>
      <c r="D735" s="2" t="s">
        <v>9</v>
      </c>
      <c r="E735" s="2" t="s">
        <v>16</v>
      </c>
      <c r="F735" s="2">
        <v>13</v>
      </c>
      <c r="G735" s="2">
        <v>754.69</v>
      </c>
      <c r="H735" s="5">
        <v>9810.9700000000012</v>
      </c>
    </row>
    <row r="736" spans="1:8" x14ac:dyDescent="0.25">
      <c r="A736" s="4">
        <v>1735</v>
      </c>
      <c r="B736" s="3">
        <v>45388</v>
      </c>
      <c r="C736" s="2" t="s">
        <v>17</v>
      </c>
      <c r="D736" s="2" t="s">
        <v>18</v>
      </c>
      <c r="E736" s="2" t="s">
        <v>10</v>
      </c>
      <c r="F736" s="2">
        <v>17</v>
      </c>
      <c r="G736" s="2">
        <v>62.67</v>
      </c>
      <c r="H736" s="5">
        <v>1065.3900000000001</v>
      </c>
    </row>
    <row r="737" spans="1:8" x14ac:dyDescent="0.25">
      <c r="A737" s="4">
        <v>1736</v>
      </c>
      <c r="B737" s="3">
        <v>45341</v>
      </c>
      <c r="C737" s="2" t="s">
        <v>8</v>
      </c>
      <c r="D737" s="2" t="s">
        <v>20</v>
      </c>
      <c r="E737" s="2" t="s">
        <v>10</v>
      </c>
      <c r="F737" s="2">
        <v>3</v>
      </c>
      <c r="G737" s="2">
        <v>1434.67</v>
      </c>
      <c r="H737" s="5">
        <v>4304.01</v>
      </c>
    </row>
    <row r="738" spans="1:8" x14ac:dyDescent="0.25">
      <c r="A738" s="4">
        <v>1737</v>
      </c>
      <c r="B738" s="3">
        <v>45490</v>
      </c>
      <c r="C738" s="2" t="s">
        <v>19</v>
      </c>
      <c r="D738" s="2" t="s">
        <v>9</v>
      </c>
      <c r="E738" s="2" t="s">
        <v>21</v>
      </c>
      <c r="F738" s="2">
        <v>17</v>
      </c>
      <c r="G738" s="2">
        <v>171.44</v>
      </c>
      <c r="H738" s="5">
        <v>2914.48</v>
      </c>
    </row>
    <row r="739" spans="1:8" x14ac:dyDescent="0.25">
      <c r="A739" s="4">
        <v>1738</v>
      </c>
      <c r="B739" s="3">
        <v>45655</v>
      </c>
      <c r="C739" s="2" t="s">
        <v>19</v>
      </c>
      <c r="D739" s="2" t="s">
        <v>15</v>
      </c>
      <c r="E739" s="2" t="s">
        <v>14</v>
      </c>
      <c r="F739" s="2">
        <v>16</v>
      </c>
      <c r="G739" s="2">
        <v>647.99</v>
      </c>
      <c r="H739" s="5">
        <v>10367.84</v>
      </c>
    </row>
    <row r="740" spans="1:8" x14ac:dyDescent="0.25">
      <c r="A740" s="4">
        <v>1739</v>
      </c>
      <c r="B740" s="3">
        <v>45315</v>
      </c>
      <c r="C740" s="2" t="s">
        <v>11</v>
      </c>
      <c r="D740" s="2" t="s">
        <v>20</v>
      </c>
      <c r="E740" s="2" t="s">
        <v>12</v>
      </c>
      <c r="F740" s="2">
        <v>4</v>
      </c>
      <c r="G740" s="2">
        <v>127.26</v>
      </c>
      <c r="H740" s="5">
        <v>509.04</v>
      </c>
    </row>
    <row r="741" spans="1:8" x14ac:dyDescent="0.25">
      <c r="A741" s="4">
        <v>1740</v>
      </c>
      <c r="B741" s="3">
        <v>45596</v>
      </c>
      <c r="C741" s="2" t="s">
        <v>13</v>
      </c>
      <c r="D741" s="2" t="s">
        <v>20</v>
      </c>
      <c r="E741" s="2" t="s">
        <v>16</v>
      </c>
      <c r="F741" s="2">
        <v>17</v>
      </c>
      <c r="G741" s="2">
        <v>1199.01</v>
      </c>
      <c r="H741" s="5">
        <v>20383.169999999998</v>
      </c>
    </row>
    <row r="742" spans="1:8" x14ac:dyDescent="0.25">
      <c r="A742" s="4">
        <v>1741</v>
      </c>
      <c r="B742" s="3">
        <v>45469</v>
      </c>
      <c r="C742" s="2" t="s">
        <v>17</v>
      </c>
      <c r="D742" s="2" t="s">
        <v>20</v>
      </c>
      <c r="E742" s="2" t="s">
        <v>14</v>
      </c>
      <c r="F742" s="2">
        <v>13</v>
      </c>
      <c r="G742" s="2">
        <v>1119.6400000000001</v>
      </c>
      <c r="H742" s="5">
        <v>14555.32</v>
      </c>
    </row>
    <row r="743" spans="1:8" x14ac:dyDescent="0.25">
      <c r="A743" s="4">
        <v>1742</v>
      </c>
      <c r="B743" s="3">
        <v>45645</v>
      </c>
      <c r="C743" s="2" t="s">
        <v>19</v>
      </c>
      <c r="D743" s="2" t="s">
        <v>9</v>
      </c>
      <c r="E743" s="2" t="s">
        <v>10</v>
      </c>
      <c r="F743" s="2">
        <v>9</v>
      </c>
      <c r="G743" s="2">
        <v>580.49</v>
      </c>
      <c r="H743" s="5">
        <v>5224.41</v>
      </c>
    </row>
    <row r="744" spans="1:8" x14ac:dyDescent="0.25">
      <c r="A744" s="4">
        <v>1743</v>
      </c>
      <c r="B744" s="3">
        <v>45640</v>
      </c>
      <c r="C744" s="2" t="s">
        <v>13</v>
      </c>
      <c r="D744" s="2" t="s">
        <v>15</v>
      </c>
      <c r="E744" s="2" t="s">
        <v>14</v>
      </c>
      <c r="F744" s="2">
        <v>8</v>
      </c>
      <c r="G744" s="2">
        <v>1135.57</v>
      </c>
      <c r="H744" s="5">
        <v>9084.56</v>
      </c>
    </row>
    <row r="745" spans="1:8" x14ac:dyDescent="0.25">
      <c r="A745" s="4">
        <v>1744</v>
      </c>
      <c r="B745" s="3">
        <v>45334</v>
      </c>
      <c r="C745" s="2" t="s">
        <v>17</v>
      </c>
      <c r="D745" s="2" t="s">
        <v>15</v>
      </c>
      <c r="E745" s="2" t="s">
        <v>21</v>
      </c>
      <c r="F745" s="2">
        <v>14</v>
      </c>
      <c r="G745" s="2">
        <v>235.42</v>
      </c>
      <c r="H745" s="5">
        <v>3295.88</v>
      </c>
    </row>
    <row r="746" spans="1:8" x14ac:dyDescent="0.25">
      <c r="A746" s="4">
        <v>1745</v>
      </c>
      <c r="B746" s="3">
        <v>45418</v>
      </c>
      <c r="C746" s="2" t="s">
        <v>11</v>
      </c>
      <c r="D746" s="2" t="s">
        <v>9</v>
      </c>
      <c r="E746" s="2" t="s">
        <v>16</v>
      </c>
      <c r="F746" s="2">
        <v>7</v>
      </c>
      <c r="G746" s="2">
        <v>1335.36</v>
      </c>
      <c r="H746" s="5">
        <v>9347.5199999999986</v>
      </c>
    </row>
    <row r="747" spans="1:8" x14ac:dyDescent="0.25">
      <c r="A747" s="4">
        <v>1746</v>
      </c>
      <c r="B747" s="3">
        <v>45490</v>
      </c>
      <c r="C747" s="2" t="s">
        <v>17</v>
      </c>
      <c r="D747" s="2" t="s">
        <v>18</v>
      </c>
      <c r="E747" s="2" t="s">
        <v>10</v>
      </c>
      <c r="F747" s="2">
        <v>14</v>
      </c>
      <c r="G747" s="2">
        <v>161.97</v>
      </c>
      <c r="H747" s="5">
        <v>2267.58</v>
      </c>
    </row>
    <row r="748" spans="1:8" x14ac:dyDescent="0.25">
      <c r="A748" s="4">
        <v>1747</v>
      </c>
      <c r="B748" s="3">
        <v>45450</v>
      </c>
      <c r="C748" s="2" t="s">
        <v>19</v>
      </c>
      <c r="D748" s="2" t="s">
        <v>20</v>
      </c>
      <c r="E748" s="2" t="s">
        <v>12</v>
      </c>
      <c r="F748" s="2">
        <v>7</v>
      </c>
      <c r="G748" s="2">
        <v>744.95</v>
      </c>
      <c r="H748" s="5">
        <v>5214.6500000000005</v>
      </c>
    </row>
    <row r="749" spans="1:8" x14ac:dyDescent="0.25">
      <c r="A749" s="4">
        <v>1748</v>
      </c>
      <c r="B749" s="3">
        <v>45548</v>
      </c>
      <c r="C749" s="2" t="s">
        <v>11</v>
      </c>
      <c r="D749" s="2" t="s">
        <v>18</v>
      </c>
      <c r="E749" s="2" t="s">
        <v>16</v>
      </c>
      <c r="F749" s="2">
        <v>1</v>
      </c>
      <c r="G749" s="2">
        <v>317.74</v>
      </c>
      <c r="H749" s="5">
        <v>317.74</v>
      </c>
    </row>
    <row r="750" spans="1:8" x14ac:dyDescent="0.25">
      <c r="A750" s="4">
        <v>1749</v>
      </c>
      <c r="B750" s="3">
        <v>45555</v>
      </c>
      <c r="C750" s="2" t="s">
        <v>11</v>
      </c>
      <c r="D750" s="2" t="s">
        <v>20</v>
      </c>
      <c r="E750" s="2" t="s">
        <v>16</v>
      </c>
      <c r="F750" s="2">
        <v>9</v>
      </c>
      <c r="G750" s="2">
        <v>427.68</v>
      </c>
      <c r="H750" s="5">
        <v>3849.12</v>
      </c>
    </row>
    <row r="751" spans="1:8" x14ac:dyDescent="0.25">
      <c r="A751" s="4">
        <v>1750</v>
      </c>
      <c r="B751" s="3">
        <v>45532</v>
      </c>
      <c r="C751" s="2" t="s">
        <v>17</v>
      </c>
      <c r="D751" s="2" t="s">
        <v>20</v>
      </c>
      <c r="E751" s="2" t="s">
        <v>12</v>
      </c>
      <c r="F751" s="2">
        <v>12</v>
      </c>
      <c r="G751" s="2">
        <v>135.5</v>
      </c>
      <c r="H751" s="5">
        <v>1626</v>
      </c>
    </row>
    <row r="752" spans="1:8" x14ac:dyDescent="0.25">
      <c r="A752" s="4">
        <v>1751</v>
      </c>
      <c r="B752" s="3">
        <v>45295</v>
      </c>
      <c r="C752" s="2" t="s">
        <v>17</v>
      </c>
      <c r="D752" s="2" t="s">
        <v>15</v>
      </c>
      <c r="E752" s="2" t="s">
        <v>14</v>
      </c>
      <c r="F752" s="2">
        <v>3</v>
      </c>
      <c r="G752" s="2">
        <v>95.76</v>
      </c>
      <c r="H752" s="5">
        <v>287.27999999999997</v>
      </c>
    </row>
    <row r="753" spans="1:8" x14ac:dyDescent="0.25">
      <c r="A753" s="4">
        <v>1752</v>
      </c>
      <c r="B753" s="3">
        <v>45303</v>
      </c>
      <c r="C753" s="2" t="s">
        <v>13</v>
      </c>
      <c r="D753" s="2" t="s">
        <v>15</v>
      </c>
      <c r="E753" s="2" t="s">
        <v>21</v>
      </c>
      <c r="F753" s="2">
        <v>17</v>
      </c>
      <c r="G753" s="2">
        <v>823.91</v>
      </c>
      <c r="H753" s="5">
        <v>14006.47</v>
      </c>
    </row>
    <row r="754" spans="1:8" x14ac:dyDescent="0.25">
      <c r="A754" s="4">
        <v>1753</v>
      </c>
      <c r="B754" s="3">
        <v>45636</v>
      </c>
      <c r="C754" s="2" t="s">
        <v>8</v>
      </c>
      <c r="D754" s="2" t="s">
        <v>9</v>
      </c>
      <c r="E754" s="2" t="s">
        <v>14</v>
      </c>
      <c r="F754" s="2">
        <v>14</v>
      </c>
      <c r="G754" s="2">
        <v>862.93</v>
      </c>
      <c r="H754" s="5">
        <v>12081.02</v>
      </c>
    </row>
    <row r="755" spans="1:8" x14ac:dyDescent="0.25">
      <c r="A755" s="4">
        <v>1754</v>
      </c>
      <c r="B755" s="3">
        <v>45354</v>
      </c>
      <c r="C755" s="2" t="s">
        <v>11</v>
      </c>
      <c r="D755" s="2" t="s">
        <v>15</v>
      </c>
      <c r="E755" s="2" t="s">
        <v>16</v>
      </c>
      <c r="F755" s="2">
        <v>3</v>
      </c>
      <c r="G755" s="2">
        <v>242.79</v>
      </c>
      <c r="H755" s="5">
        <v>728.37</v>
      </c>
    </row>
    <row r="756" spans="1:8" x14ac:dyDescent="0.25">
      <c r="A756" s="4">
        <v>1755</v>
      </c>
      <c r="B756" s="3">
        <v>45459</v>
      </c>
      <c r="C756" s="2" t="s">
        <v>19</v>
      </c>
      <c r="D756" s="2" t="s">
        <v>18</v>
      </c>
      <c r="E756" s="2" t="s">
        <v>12</v>
      </c>
      <c r="F756" s="2">
        <v>19</v>
      </c>
      <c r="G756" s="2">
        <v>1469.06</v>
      </c>
      <c r="H756" s="5">
        <v>27912.14</v>
      </c>
    </row>
    <row r="757" spans="1:8" x14ac:dyDescent="0.25">
      <c r="A757" s="4">
        <v>1756</v>
      </c>
      <c r="B757" s="3">
        <v>45606</v>
      </c>
      <c r="C757" s="2" t="s">
        <v>19</v>
      </c>
      <c r="D757" s="2" t="s">
        <v>20</v>
      </c>
      <c r="E757" s="2" t="s">
        <v>21</v>
      </c>
      <c r="F757" s="2">
        <v>2</v>
      </c>
      <c r="G757" s="2">
        <v>430.57</v>
      </c>
      <c r="H757" s="5">
        <v>861.14</v>
      </c>
    </row>
    <row r="758" spans="1:8" x14ac:dyDescent="0.25">
      <c r="A758" s="4">
        <v>1757</v>
      </c>
      <c r="B758" s="3">
        <v>45350</v>
      </c>
      <c r="C758" s="2" t="s">
        <v>8</v>
      </c>
      <c r="D758" s="2" t="s">
        <v>20</v>
      </c>
      <c r="E758" s="2" t="s">
        <v>21</v>
      </c>
      <c r="F758" s="2">
        <v>7</v>
      </c>
      <c r="G758" s="2">
        <v>1081.68</v>
      </c>
      <c r="H758" s="5">
        <v>7571.76</v>
      </c>
    </row>
    <row r="759" spans="1:8" x14ac:dyDescent="0.25">
      <c r="A759" s="4">
        <v>1758</v>
      </c>
      <c r="B759" s="3">
        <v>45570</v>
      </c>
      <c r="C759" s="2" t="s">
        <v>19</v>
      </c>
      <c r="D759" s="2" t="s">
        <v>20</v>
      </c>
      <c r="E759" s="2" t="s">
        <v>16</v>
      </c>
      <c r="F759" s="2">
        <v>9</v>
      </c>
      <c r="G759" s="2">
        <v>1201.3699999999999</v>
      </c>
      <c r="H759" s="5">
        <v>10812.33</v>
      </c>
    </row>
    <row r="760" spans="1:8" x14ac:dyDescent="0.25">
      <c r="A760" s="4">
        <v>1759</v>
      </c>
      <c r="B760" s="3">
        <v>45405</v>
      </c>
      <c r="C760" s="2" t="s">
        <v>8</v>
      </c>
      <c r="D760" s="2" t="s">
        <v>20</v>
      </c>
      <c r="E760" s="2" t="s">
        <v>14</v>
      </c>
      <c r="F760" s="2">
        <v>4</v>
      </c>
      <c r="G760" s="2">
        <v>1380.57</v>
      </c>
      <c r="H760" s="5">
        <v>5522.28</v>
      </c>
    </row>
    <row r="761" spans="1:8" x14ac:dyDescent="0.25">
      <c r="A761" s="4">
        <v>1760</v>
      </c>
      <c r="B761" s="3">
        <v>45560</v>
      </c>
      <c r="C761" s="2" t="s">
        <v>17</v>
      </c>
      <c r="D761" s="2" t="s">
        <v>15</v>
      </c>
      <c r="E761" s="2" t="s">
        <v>10</v>
      </c>
      <c r="F761" s="2">
        <v>13</v>
      </c>
      <c r="G761" s="2">
        <v>1227.45</v>
      </c>
      <c r="H761" s="5">
        <v>15956.85</v>
      </c>
    </row>
    <row r="762" spans="1:8" x14ac:dyDescent="0.25">
      <c r="A762" s="4">
        <v>1761</v>
      </c>
      <c r="B762" s="3">
        <v>45294</v>
      </c>
      <c r="C762" s="2" t="s">
        <v>11</v>
      </c>
      <c r="D762" s="2" t="s">
        <v>15</v>
      </c>
      <c r="E762" s="2" t="s">
        <v>12</v>
      </c>
      <c r="F762" s="2">
        <v>16</v>
      </c>
      <c r="G762" s="2">
        <v>846</v>
      </c>
      <c r="H762" s="5">
        <v>13536</v>
      </c>
    </row>
    <row r="763" spans="1:8" x14ac:dyDescent="0.25">
      <c r="A763" s="4">
        <v>1762</v>
      </c>
      <c r="B763" s="3">
        <v>45451</v>
      </c>
      <c r="C763" s="2" t="s">
        <v>11</v>
      </c>
      <c r="D763" s="2" t="s">
        <v>9</v>
      </c>
      <c r="E763" s="2" t="s">
        <v>16</v>
      </c>
      <c r="F763" s="2">
        <v>14</v>
      </c>
      <c r="G763" s="2">
        <v>73.069999999999993</v>
      </c>
      <c r="H763" s="5">
        <v>1022.98</v>
      </c>
    </row>
    <row r="764" spans="1:8" x14ac:dyDescent="0.25">
      <c r="A764" s="4">
        <v>1763</v>
      </c>
      <c r="B764" s="3">
        <v>45492</v>
      </c>
      <c r="C764" s="2" t="s">
        <v>8</v>
      </c>
      <c r="D764" s="2" t="s">
        <v>9</v>
      </c>
      <c r="E764" s="2" t="s">
        <v>16</v>
      </c>
      <c r="F764" s="2">
        <v>5</v>
      </c>
      <c r="G764" s="2">
        <v>202.04</v>
      </c>
      <c r="H764" s="5">
        <v>1010.2</v>
      </c>
    </row>
    <row r="765" spans="1:8" x14ac:dyDescent="0.25">
      <c r="A765" s="4">
        <v>1764</v>
      </c>
      <c r="B765" s="3">
        <v>45520</v>
      </c>
      <c r="C765" s="2" t="s">
        <v>19</v>
      </c>
      <c r="D765" s="2" t="s">
        <v>20</v>
      </c>
      <c r="E765" s="2" t="s">
        <v>16</v>
      </c>
      <c r="F765" s="2">
        <v>5</v>
      </c>
      <c r="G765" s="2">
        <v>658.85</v>
      </c>
      <c r="H765" s="5">
        <v>3294.25</v>
      </c>
    </row>
    <row r="766" spans="1:8" x14ac:dyDescent="0.25">
      <c r="A766" s="4">
        <v>1765</v>
      </c>
      <c r="B766" s="3">
        <v>45308</v>
      </c>
      <c r="C766" s="2" t="s">
        <v>8</v>
      </c>
      <c r="D766" s="2" t="s">
        <v>15</v>
      </c>
      <c r="E766" s="2" t="s">
        <v>16</v>
      </c>
      <c r="F766" s="2">
        <v>19</v>
      </c>
      <c r="G766" s="2">
        <v>1053.1199999999999</v>
      </c>
      <c r="H766" s="5">
        <v>20009.28</v>
      </c>
    </row>
    <row r="767" spans="1:8" x14ac:dyDescent="0.25">
      <c r="A767" s="4">
        <v>1766</v>
      </c>
      <c r="B767" s="3">
        <v>45520</v>
      </c>
      <c r="C767" s="2" t="s">
        <v>17</v>
      </c>
      <c r="D767" s="2" t="s">
        <v>9</v>
      </c>
      <c r="E767" s="2" t="s">
        <v>21</v>
      </c>
      <c r="F767" s="2">
        <v>14</v>
      </c>
      <c r="G767" s="2">
        <v>1374.75</v>
      </c>
      <c r="H767" s="5">
        <v>19246.5</v>
      </c>
    </row>
    <row r="768" spans="1:8" x14ac:dyDescent="0.25">
      <c r="A768" s="4">
        <v>1767</v>
      </c>
      <c r="B768" s="3">
        <v>45339</v>
      </c>
      <c r="C768" s="2" t="s">
        <v>19</v>
      </c>
      <c r="D768" s="2" t="s">
        <v>9</v>
      </c>
      <c r="E768" s="2" t="s">
        <v>12</v>
      </c>
      <c r="F768" s="2">
        <v>8</v>
      </c>
      <c r="G768" s="2">
        <v>1458.78</v>
      </c>
      <c r="H768" s="5">
        <v>11670.24</v>
      </c>
    </row>
    <row r="769" spans="1:8" x14ac:dyDescent="0.25">
      <c r="A769" s="4">
        <v>1768</v>
      </c>
      <c r="B769" s="3">
        <v>45408</v>
      </c>
      <c r="C769" s="2" t="s">
        <v>17</v>
      </c>
      <c r="D769" s="2" t="s">
        <v>15</v>
      </c>
      <c r="E769" s="2" t="s">
        <v>21</v>
      </c>
      <c r="F769" s="2">
        <v>11</v>
      </c>
      <c r="G769" s="2">
        <v>966.01</v>
      </c>
      <c r="H769" s="5">
        <v>10626.11</v>
      </c>
    </row>
    <row r="770" spans="1:8" x14ac:dyDescent="0.25">
      <c r="A770" s="4">
        <v>1769</v>
      </c>
      <c r="B770" s="3">
        <v>45437</v>
      </c>
      <c r="C770" s="2" t="s">
        <v>13</v>
      </c>
      <c r="D770" s="2" t="s">
        <v>15</v>
      </c>
      <c r="E770" s="2" t="s">
        <v>14</v>
      </c>
      <c r="F770" s="2">
        <v>16</v>
      </c>
      <c r="G770" s="2">
        <v>192.48</v>
      </c>
      <c r="H770" s="5">
        <v>3079.68</v>
      </c>
    </row>
    <row r="771" spans="1:8" x14ac:dyDescent="0.25">
      <c r="A771" s="4">
        <v>1770</v>
      </c>
      <c r="B771" s="3">
        <v>45482</v>
      </c>
      <c r="C771" s="2" t="s">
        <v>13</v>
      </c>
      <c r="D771" s="2" t="s">
        <v>15</v>
      </c>
      <c r="E771" s="2" t="s">
        <v>21</v>
      </c>
      <c r="F771" s="2">
        <v>16</v>
      </c>
      <c r="G771" s="2">
        <v>1269.93</v>
      </c>
      <c r="H771" s="5">
        <v>20318.88</v>
      </c>
    </row>
    <row r="772" spans="1:8" x14ac:dyDescent="0.25">
      <c r="A772" s="4">
        <v>1771</v>
      </c>
      <c r="B772" s="3">
        <v>45637</v>
      </c>
      <c r="C772" s="2" t="s">
        <v>11</v>
      </c>
      <c r="D772" s="2" t="s">
        <v>20</v>
      </c>
      <c r="E772" s="2" t="s">
        <v>21</v>
      </c>
      <c r="F772" s="2">
        <v>6</v>
      </c>
      <c r="G772" s="2">
        <v>1486.21</v>
      </c>
      <c r="H772" s="5">
        <v>8917.26</v>
      </c>
    </row>
    <row r="773" spans="1:8" x14ac:dyDescent="0.25">
      <c r="A773" s="4">
        <v>1772</v>
      </c>
      <c r="B773" s="3">
        <v>45553</v>
      </c>
      <c r="C773" s="2" t="s">
        <v>8</v>
      </c>
      <c r="D773" s="2" t="s">
        <v>9</v>
      </c>
      <c r="E773" s="2" t="s">
        <v>12</v>
      </c>
      <c r="F773" s="2">
        <v>18</v>
      </c>
      <c r="G773" s="2">
        <v>187.6</v>
      </c>
      <c r="H773" s="5">
        <v>3376.8</v>
      </c>
    </row>
    <row r="774" spans="1:8" x14ac:dyDescent="0.25">
      <c r="A774" s="4">
        <v>1773</v>
      </c>
      <c r="B774" s="3">
        <v>45444</v>
      </c>
      <c r="C774" s="2" t="s">
        <v>19</v>
      </c>
      <c r="D774" s="2" t="s">
        <v>18</v>
      </c>
      <c r="E774" s="2" t="s">
        <v>21</v>
      </c>
      <c r="F774" s="2">
        <v>9</v>
      </c>
      <c r="G774" s="2">
        <v>1491.04</v>
      </c>
      <c r="H774" s="5">
        <v>13419.36</v>
      </c>
    </row>
    <row r="775" spans="1:8" x14ac:dyDescent="0.25">
      <c r="A775" s="4">
        <v>1774</v>
      </c>
      <c r="B775" s="3">
        <v>45505</v>
      </c>
      <c r="C775" s="2" t="s">
        <v>19</v>
      </c>
      <c r="D775" s="2" t="s">
        <v>15</v>
      </c>
      <c r="E775" s="2" t="s">
        <v>21</v>
      </c>
      <c r="F775" s="2">
        <v>13</v>
      </c>
      <c r="G775" s="2">
        <v>298.55</v>
      </c>
      <c r="H775" s="5">
        <v>3881.15</v>
      </c>
    </row>
    <row r="776" spans="1:8" x14ac:dyDescent="0.25">
      <c r="A776" s="4">
        <v>1775</v>
      </c>
      <c r="B776" s="3">
        <v>45656</v>
      </c>
      <c r="C776" s="2" t="s">
        <v>17</v>
      </c>
      <c r="D776" s="2" t="s">
        <v>9</v>
      </c>
      <c r="E776" s="2" t="s">
        <v>14</v>
      </c>
      <c r="F776" s="2">
        <v>8</v>
      </c>
      <c r="G776" s="2">
        <v>1024.48</v>
      </c>
      <c r="H776" s="5">
        <v>8195.84</v>
      </c>
    </row>
    <row r="777" spans="1:8" x14ac:dyDescent="0.25">
      <c r="A777" s="4">
        <v>1776</v>
      </c>
      <c r="B777" s="3">
        <v>45520</v>
      </c>
      <c r="C777" s="2" t="s">
        <v>8</v>
      </c>
      <c r="D777" s="2" t="s">
        <v>9</v>
      </c>
      <c r="E777" s="2" t="s">
        <v>12</v>
      </c>
      <c r="F777" s="2">
        <v>17</v>
      </c>
      <c r="G777" s="2">
        <v>443.31</v>
      </c>
      <c r="H777" s="5">
        <v>7536.27</v>
      </c>
    </row>
    <row r="778" spans="1:8" x14ac:dyDescent="0.25">
      <c r="A778" s="4">
        <v>1777</v>
      </c>
      <c r="B778" s="3">
        <v>45581</v>
      </c>
      <c r="C778" s="2" t="s">
        <v>13</v>
      </c>
      <c r="D778" s="2" t="s">
        <v>20</v>
      </c>
      <c r="E778" s="2" t="s">
        <v>10</v>
      </c>
      <c r="F778" s="2">
        <v>8</v>
      </c>
      <c r="G778" s="2">
        <v>1404.68</v>
      </c>
      <c r="H778" s="5">
        <v>11237.44</v>
      </c>
    </row>
    <row r="779" spans="1:8" x14ac:dyDescent="0.25">
      <c r="A779" s="4">
        <v>1778</v>
      </c>
      <c r="B779" s="3">
        <v>45519</v>
      </c>
      <c r="C779" s="2" t="s">
        <v>17</v>
      </c>
      <c r="D779" s="2" t="s">
        <v>15</v>
      </c>
      <c r="E779" s="2" t="s">
        <v>12</v>
      </c>
      <c r="F779" s="2">
        <v>16</v>
      </c>
      <c r="G779" s="2">
        <v>703.45</v>
      </c>
      <c r="H779" s="5">
        <v>11255.2</v>
      </c>
    </row>
    <row r="780" spans="1:8" x14ac:dyDescent="0.25">
      <c r="A780" s="4">
        <v>1779</v>
      </c>
      <c r="B780" s="3">
        <v>45476</v>
      </c>
      <c r="C780" s="2" t="s">
        <v>11</v>
      </c>
      <c r="D780" s="2" t="s">
        <v>20</v>
      </c>
      <c r="E780" s="2" t="s">
        <v>16</v>
      </c>
      <c r="F780" s="2">
        <v>1</v>
      </c>
      <c r="G780" s="2">
        <v>507.84</v>
      </c>
      <c r="H780" s="5">
        <v>507.84</v>
      </c>
    </row>
    <row r="781" spans="1:8" x14ac:dyDescent="0.25">
      <c r="A781" s="4">
        <v>1780</v>
      </c>
      <c r="B781" s="3">
        <v>45293</v>
      </c>
      <c r="C781" s="2" t="s">
        <v>13</v>
      </c>
      <c r="D781" s="2" t="s">
        <v>15</v>
      </c>
      <c r="E781" s="2" t="s">
        <v>10</v>
      </c>
      <c r="F781" s="2">
        <v>17</v>
      </c>
      <c r="G781" s="2">
        <v>983.67</v>
      </c>
      <c r="H781" s="5">
        <v>16722.39</v>
      </c>
    </row>
    <row r="782" spans="1:8" x14ac:dyDescent="0.25">
      <c r="A782" s="4">
        <v>1781</v>
      </c>
      <c r="B782" s="3">
        <v>45316</v>
      </c>
      <c r="C782" s="2" t="s">
        <v>8</v>
      </c>
      <c r="D782" s="2" t="s">
        <v>15</v>
      </c>
      <c r="E782" s="2" t="s">
        <v>16</v>
      </c>
      <c r="F782" s="2">
        <v>2</v>
      </c>
      <c r="G782" s="2">
        <v>387.9</v>
      </c>
      <c r="H782" s="5">
        <v>775.8</v>
      </c>
    </row>
    <row r="783" spans="1:8" x14ac:dyDescent="0.25">
      <c r="A783" s="4">
        <v>1782</v>
      </c>
      <c r="B783" s="3">
        <v>45490</v>
      </c>
      <c r="C783" s="2" t="s">
        <v>8</v>
      </c>
      <c r="D783" s="2" t="s">
        <v>20</v>
      </c>
      <c r="E783" s="2" t="s">
        <v>21</v>
      </c>
      <c r="F783" s="2">
        <v>15</v>
      </c>
      <c r="G783" s="2">
        <v>351.07</v>
      </c>
      <c r="H783" s="5">
        <v>5266.05</v>
      </c>
    </row>
    <row r="784" spans="1:8" x14ac:dyDescent="0.25">
      <c r="A784" s="4">
        <v>1783</v>
      </c>
      <c r="B784" s="3">
        <v>45554</v>
      </c>
      <c r="C784" s="2" t="s">
        <v>13</v>
      </c>
      <c r="D784" s="2" t="s">
        <v>18</v>
      </c>
      <c r="E784" s="2" t="s">
        <v>10</v>
      </c>
      <c r="F784" s="2">
        <v>9</v>
      </c>
      <c r="G784" s="2">
        <v>70.19</v>
      </c>
      <c r="H784" s="5">
        <v>631.71</v>
      </c>
    </row>
    <row r="785" spans="1:8" x14ac:dyDescent="0.25">
      <c r="A785" s="4">
        <v>1784</v>
      </c>
      <c r="B785" s="3">
        <v>45508</v>
      </c>
      <c r="C785" s="2" t="s">
        <v>19</v>
      </c>
      <c r="D785" s="2" t="s">
        <v>9</v>
      </c>
      <c r="E785" s="2" t="s">
        <v>12</v>
      </c>
      <c r="F785" s="2">
        <v>9</v>
      </c>
      <c r="G785" s="2">
        <v>1242.24</v>
      </c>
      <c r="H785" s="5">
        <v>11180.16</v>
      </c>
    </row>
    <row r="786" spans="1:8" x14ac:dyDescent="0.25">
      <c r="A786" s="4">
        <v>1785</v>
      </c>
      <c r="B786" s="3">
        <v>45531</v>
      </c>
      <c r="C786" s="2" t="s">
        <v>19</v>
      </c>
      <c r="D786" s="2" t="s">
        <v>20</v>
      </c>
      <c r="E786" s="2" t="s">
        <v>12</v>
      </c>
      <c r="F786" s="2">
        <v>8</v>
      </c>
      <c r="G786" s="2">
        <v>1038.51</v>
      </c>
      <c r="H786" s="5">
        <v>8308.08</v>
      </c>
    </row>
    <row r="787" spans="1:8" x14ac:dyDescent="0.25">
      <c r="A787" s="4">
        <v>1786</v>
      </c>
      <c r="B787" s="3">
        <v>45552</v>
      </c>
      <c r="C787" s="2" t="s">
        <v>13</v>
      </c>
      <c r="D787" s="2" t="s">
        <v>9</v>
      </c>
      <c r="E787" s="2" t="s">
        <v>21</v>
      </c>
      <c r="F787" s="2">
        <v>3</v>
      </c>
      <c r="G787" s="2">
        <v>1100.47</v>
      </c>
      <c r="H787" s="5">
        <v>3301.41</v>
      </c>
    </row>
    <row r="788" spans="1:8" x14ac:dyDescent="0.25">
      <c r="A788" s="4">
        <v>1787</v>
      </c>
      <c r="B788" s="3">
        <v>45571</v>
      </c>
      <c r="C788" s="2" t="s">
        <v>13</v>
      </c>
      <c r="D788" s="2" t="s">
        <v>15</v>
      </c>
      <c r="E788" s="2" t="s">
        <v>10</v>
      </c>
      <c r="F788" s="2">
        <v>1</v>
      </c>
      <c r="G788" s="2">
        <v>97.94</v>
      </c>
      <c r="H788" s="5">
        <v>97.94</v>
      </c>
    </row>
    <row r="789" spans="1:8" x14ac:dyDescent="0.25">
      <c r="A789" s="4">
        <v>1788</v>
      </c>
      <c r="B789" s="3">
        <v>45651</v>
      </c>
      <c r="C789" s="2" t="s">
        <v>19</v>
      </c>
      <c r="D789" s="2" t="s">
        <v>18</v>
      </c>
      <c r="E789" s="2" t="s">
        <v>10</v>
      </c>
      <c r="F789" s="2">
        <v>10</v>
      </c>
      <c r="G789" s="2">
        <v>1299.67</v>
      </c>
      <c r="H789" s="5">
        <v>12996.7</v>
      </c>
    </row>
    <row r="790" spans="1:8" x14ac:dyDescent="0.25">
      <c r="A790" s="4">
        <v>1789</v>
      </c>
      <c r="B790" s="3">
        <v>45634</v>
      </c>
      <c r="C790" s="2" t="s">
        <v>19</v>
      </c>
      <c r="D790" s="2" t="s">
        <v>20</v>
      </c>
      <c r="E790" s="2" t="s">
        <v>14</v>
      </c>
      <c r="F790" s="2">
        <v>9</v>
      </c>
      <c r="G790" s="2">
        <v>749.98</v>
      </c>
      <c r="H790" s="5">
        <v>6749.82</v>
      </c>
    </row>
    <row r="791" spans="1:8" x14ac:dyDescent="0.25">
      <c r="A791" s="4">
        <v>1790</v>
      </c>
      <c r="B791" s="3">
        <v>45415</v>
      </c>
      <c r="C791" s="2" t="s">
        <v>11</v>
      </c>
      <c r="D791" s="2" t="s">
        <v>15</v>
      </c>
      <c r="E791" s="2" t="s">
        <v>10</v>
      </c>
      <c r="F791" s="2">
        <v>13</v>
      </c>
      <c r="G791" s="2">
        <v>405.33</v>
      </c>
      <c r="H791" s="5">
        <v>5269.29</v>
      </c>
    </row>
    <row r="792" spans="1:8" x14ac:dyDescent="0.25">
      <c r="A792" s="4">
        <v>1791</v>
      </c>
      <c r="B792" s="3">
        <v>45514</v>
      </c>
      <c r="C792" s="2" t="s">
        <v>19</v>
      </c>
      <c r="D792" s="2" t="s">
        <v>9</v>
      </c>
      <c r="E792" s="2" t="s">
        <v>12</v>
      </c>
      <c r="F792" s="2">
        <v>9</v>
      </c>
      <c r="G792" s="2">
        <v>972.62</v>
      </c>
      <c r="H792" s="5">
        <v>8753.58</v>
      </c>
    </row>
    <row r="793" spans="1:8" x14ac:dyDescent="0.25">
      <c r="A793" s="4">
        <v>1792</v>
      </c>
      <c r="B793" s="3">
        <v>45496</v>
      </c>
      <c r="C793" s="2" t="s">
        <v>11</v>
      </c>
      <c r="D793" s="2" t="s">
        <v>20</v>
      </c>
      <c r="E793" s="2" t="s">
        <v>12</v>
      </c>
      <c r="F793" s="2">
        <v>5</v>
      </c>
      <c r="G793" s="2">
        <v>842.8</v>
      </c>
      <c r="H793" s="5">
        <v>4214</v>
      </c>
    </row>
    <row r="794" spans="1:8" x14ac:dyDescent="0.25">
      <c r="A794" s="4">
        <v>1793</v>
      </c>
      <c r="B794" s="3">
        <v>45536</v>
      </c>
      <c r="C794" s="2" t="s">
        <v>17</v>
      </c>
      <c r="D794" s="2" t="s">
        <v>18</v>
      </c>
      <c r="E794" s="2" t="s">
        <v>21</v>
      </c>
      <c r="F794" s="2">
        <v>17</v>
      </c>
      <c r="G794" s="2">
        <v>374.65</v>
      </c>
      <c r="H794" s="5">
        <v>6369.0499999999993</v>
      </c>
    </row>
    <row r="795" spans="1:8" x14ac:dyDescent="0.25">
      <c r="A795" s="4">
        <v>1794</v>
      </c>
      <c r="B795" s="3">
        <v>45614</v>
      </c>
      <c r="C795" s="2" t="s">
        <v>19</v>
      </c>
      <c r="D795" s="2" t="s">
        <v>20</v>
      </c>
      <c r="E795" s="2" t="s">
        <v>10</v>
      </c>
      <c r="F795" s="2">
        <v>3</v>
      </c>
      <c r="G795" s="2">
        <v>1426.75</v>
      </c>
      <c r="H795" s="5">
        <v>4280.25</v>
      </c>
    </row>
    <row r="796" spans="1:8" x14ac:dyDescent="0.25">
      <c r="A796" s="4">
        <v>1795</v>
      </c>
      <c r="B796" s="3">
        <v>45490</v>
      </c>
      <c r="C796" s="2" t="s">
        <v>17</v>
      </c>
      <c r="D796" s="2" t="s">
        <v>9</v>
      </c>
      <c r="E796" s="2" t="s">
        <v>14</v>
      </c>
      <c r="F796" s="2">
        <v>13</v>
      </c>
      <c r="G796" s="2">
        <v>420.98</v>
      </c>
      <c r="H796" s="5">
        <v>5472.74</v>
      </c>
    </row>
    <row r="797" spans="1:8" x14ac:dyDescent="0.25">
      <c r="A797" s="4">
        <v>1796</v>
      </c>
      <c r="B797" s="3">
        <v>45297</v>
      </c>
      <c r="C797" s="2" t="s">
        <v>8</v>
      </c>
      <c r="D797" s="2" t="s">
        <v>9</v>
      </c>
      <c r="E797" s="2" t="s">
        <v>14</v>
      </c>
      <c r="F797" s="2">
        <v>3</v>
      </c>
      <c r="G797" s="2">
        <v>818.18</v>
      </c>
      <c r="H797" s="5">
        <v>2454.54</v>
      </c>
    </row>
    <row r="798" spans="1:8" x14ac:dyDescent="0.25">
      <c r="A798" s="4">
        <v>1797</v>
      </c>
      <c r="B798" s="3">
        <v>45519</v>
      </c>
      <c r="C798" s="2" t="s">
        <v>11</v>
      </c>
      <c r="D798" s="2" t="s">
        <v>18</v>
      </c>
      <c r="E798" s="2" t="s">
        <v>12</v>
      </c>
      <c r="F798" s="2">
        <v>18</v>
      </c>
      <c r="G798" s="2">
        <v>982</v>
      </c>
      <c r="H798" s="5">
        <v>17676</v>
      </c>
    </row>
    <row r="799" spans="1:8" x14ac:dyDescent="0.25">
      <c r="A799" s="4">
        <v>1798</v>
      </c>
      <c r="B799" s="3">
        <v>45340</v>
      </c>
      <c r="C799" s="2" t="s">
        <v>8</v>
      </c>
      <c r="D799" s="2" t="s">
        <v>15</v>
      </c>
      <c r="E799" s="2" t="s">
        <v>10</v>
      </c>
      <c r="F799" s="2">
        <v>14</v>
      </c>
      <c r="G799" s="2">
        <v>803.94</v>
      </c>
      <c r="H799" s="5">
        <v>11255.16</v>
      </c>
    </row>
    <row r="800" spans="1:8" x14ac:dyDescent="0.25">
      <c r="A800" s="4">
        <v>1799</v>
      </c>
      <c r="B800" s="3">
        <v>45454</v>
      </c>
      <c r="C800" s="2" t="s">
        <v>11</v>
      </c>
      <c r="D800" s="2" t="s">
        <v>9</v>
      </c>
      <c r="E800" s="2" t="s">
        <v>14</v>
      </c>
      <c r="F800" s="2">
        <v>16</v>
      </c>
      <c r="G800" s="2">
        <v>441.12</v>
      </c>
      <c r="H800" s="5">
        <v>7057.92</v>
      </c>
    </row>
    <row r="801" spans="1:8" x14ac:dyDescent="0.25">
      <c r="A801" s="4">
        <v>1800</v>
      </c>
      <c r="B801" s="3">
        <v>45415</v>
      </c>
      <c r="C801" s="2" t="s">
        <v>11</v>
      </c>
      <c r="D801" s="2" t="s">
        <v>18</v>
      </c>
      <c r="E801" s="2" t="s">
        <v>21</v>
      </c>
      <c r="F801" s="2">
        <v>10</v>
      </c>
      <c r="G801" s="2">
        <v>1344.51</v>
      </c>
      <c r="H801" s="5">
        <v>13445.1</v>
      </c>
    </row>
    <row r="802" spans="1:8" x14ac:dyDescent="0.25">
      <c r="A802" s="4">
        <v>1801</v>
      </c>
      <c r="B802" s="3">
        <v>45540</v>
      </c>
      <c r="C802" s="2" t="s">
        <v>17</v>
      </c>
      <c r="D802" s="2" t="s">
        <v>15</v>
      </c>
      <c r="E802" s="2" t="s">
        <v>16</v>
      </c>
      <c r="F802" s="2">
        <v>2</v>
      </c>
      <c r="G802" s="2">
        <v>981.27</v>
      </c>
      <c r="H802" s="5">
        <v>1962.54</v>
      </c>
    </row>
    <row r="803" spans="1:8" x14ac:dyDescent="0.25">
      <c r="A803" s="4">
        <v>1802</v>
      </c>
      <c r="B803" s="3">
        <v>45635</v>
      </c>
      <c r="C803" s="2" t="s">
        <v>19</v>
      </c>
      <c r="D803" s="2" t="s">
        <v>20</v>
      </c>
      <c r="E803" s="2" t="s">
        <v>14</v>
      </c>
      <c r="F803" s="2">
        <v>16</v>
      </c>
      <c r="G803" s="2">
        <v>1435.94</v>
      </c>
      <c r="H803" s="5">
        <v>22975.040000000001</v>
      </c>
    </row>
    <row r="804" spans="1:8" x14ac:dyDescent="0.25">
      <c r="A804" s="4">
        <v>1803</v>
      </c>
      <c r="B804" s="3">
        <v>45424</v>
      </c>
      <c r="C804" s="2" t="s">
        <v>13</v>
      </c>
      <c r="D804" s="2" t="s">
        <v>20</v>
      </c>
      <c r="E804" s="2" t="s">
        <v>21</v>
      </c>
      <c r="F804" s="2">
        <v>8</v>
      </c>
      <c r="G804" s="2">
        <v>565.92999999999995</v>
      </c>
      <c r="H804" s="5">
        <v>4527.4399999999996</v>
      </c>
    </row>
    <row r="805" spans="1:8" x14ac:dyDescent="0.25">
      <c r="A805" s="4">
        <v>1804</v>
      </c>
      <c r="B805" s="3">
        <v>45350</v>
      </c>
      <c r="C805" s="2" t="s">
        <v>13</v>
      </c>
      <c r="D805" s="2" t="s">
        <v>18</v>
      </c>
      <c r="E805" s="2" t="s">
        <v>16</v>
      </c>
      <c r="F805" s="2">
        <v>6</v>
      </c>
      <c r="G805" s="2">
        <v>1308.17</v>
      </c>
      <c r="H805" s="5">
        <v>7849.02</v>
      </c>
    </row>
    <row r="806" spans="1:8" x14ac:dyDescent="0.25">
      <c r="A806" s="4">
        <v>1805</v>
      </c>
      <c r="B806" s="3">
        <v>45470</v>
      </c>
      <c r="C806" s="2" t="s">
        <v>19</v>
      </c>
      <c r="D806" s="2" t="s">
        <v>18</v>
      </c>
      <c r="E806" s="2" t="s">
        <v>16</v>
      </c>
      <c r="F806" s="2">
        <v>1</v>
      </c>
      <c r="G806" s="2">
        <v>837.32</v>
      </c>
      <c r="H806" s="5">
        <v>837.32</v>
      </c>
    </row>
    <row r="807" spans="1:8" x14ac:dyDescent="0.25">
      <c r="A807" s="4">
        <v>1806</v>
      </c>
      <c r="B807" s="3">
        <v>45496</v>
      </c>
      <c r="C807" s="2" t="s">
        <v>11</v>
      </c>
      <c r="D807" s="2" t="s">
        <v>15</v>
      </c>
      <c r="E807" s="2" t="s">
        <v>10</v>
      </c>
      <c r="F807" s="2">
        <v>16</v>
      </c>
      <c r="G807" s="2">
        <v>340.01</v>
      </c>
      <c r="H807" s="5">
        <v>5440.16</v>
      </c>
    </row>
    <row r="808" spans="1:8" x14ac:dyDescent="0.25">
      <c r="A808" s="4">
        <v>1807</v>
      </c>
      <c r="B808" s="3">
        <v>45337</v>
      </c>
      <c r="C808" s="2" t="s">
        <v>19</v>
      </c>
      <c r="D808" s="2" t="s">
        <v>18</v>
      </c>
      <c r="E808" s="2" t="s">
        <v>16</v>
      </c>
      <c r="F808" s="2">
        <v>1</v>
      </c>
      <c r="G808" s="2">
        <v>566.58000000000004</v>
      </c>
      <c r="H808" s="5">
        <v>566.58000000000004</v>
      </c>
    </row>
    <row r="809" spans="1:8" x14ac:dyDescent="0.25">
      <c r="A809" s="4">
        <v>1808</v>
      </c>
      <c r="B809" s="3">
        <v>45448</v>
      </c>
      <c r="C809" s="2" t="s">
        <v>11</v>
      </c>
      <c r="D809" s="2" t="s">
        <v>20</v>
      </c>
      <c r="E809" s="2" t="s">
        <v>12</v>
      </c>
      <c r="F809" s="2">
        <v>13</v>
      </c>
      <c r="G809" s="2">
        <v>1051.79</v>
      </c>
      <c r="H809" s="5">
        <v>13673.27</v>
      </c>
    </row>
    <row r="810" spans="1:8" x14ac:dyDescent="0.25">
      <c r="A810" s="4">
        <v>1809</v>
      </c>
      <c r="B810" s="3">
        <v>45635</v>
      </c>
      <c r="C810" s="2" t="s">
        <v>8</v>
      </c>
      <c r="D810" s="2" t="s">
        <v>15</v>
      </c>
      <c r="E810" s="2" t="s">
        <v>14</v>
      </c>
      <c r="F810" s="2">
        <v>5</v>
      </c>
      <c r="G810" s="2">
        <v>709.26</v>
      </c>
      <c r="H810" s="5">
        <v>3546.3</v>
      </c>
    </row>
    <row r="811" spans="1:8" x14ac:dyDescent="0.25">
      <c r="A811" s="4">
        <v>1810</v>
      </c>
      <c r="B811" s="3">
        <v>45324</v>
      </c>
      <c r="C811" s="2" t="s">
        <v>11</v>
      </c>
      <c r="D811" s="2" t="s">
        <v>15</v>
      </c>
      <c r="E811" s="2" t="s">
        <v>21</v>
      </c>
      <c r="F811" s="2">
        <v>1</v>
      </c>
      <c r="G811" s="2">
        <v>738.72</v>
      </c>
      <c r="H811" s="5">
        <v>738.72</v>
      </c>
    </row>
    <row r="812" spans="1:8" x14ac:dyDescent="0.25">
      <c r="A812" s="4">
        <v>1811</v>
      </c>
      <c r="B812" s="3">
        <v>45572</v>
      </c>
      <c r="C812" s="2" t="s">
        <v>17</v>
      </c>
      <c r="D812" s="2" t="s">
        <v>18</v>
      </c>
      <c r="E812" s="2" t="s">
        <v>12</v>
      </c>
      <c r="F812" s="2">
        <v>10</v>
      </c>
      <c r="G812" s="2">
        <v>1032.47</v>
      </c>
      <c r="H812" s="5">
        <v>10324.700000000001</v>
      </c>
    </row>
    <row r="813" spans="1:8" x14ac:dyDescent="0.25">
      <c r="A813" s="4">
        <v>1812</v>
      </c>
      <c r="B813" s="3">
        <v>45462</v>
      </c>
      <c r="C813" s="2" t="s">
        <v>19</v>
      </c>
      <c r="D813" s="2" t="s">
        <v>18</v>
      </c>
      <c r="E813" s="2" t="s">
        <v>14</v>
      </c>
      <c r="F813" s="2">
        <v>9</v>
      </c>
      <c r="G813" s="2">
        <v>585.92999999999995</v>
      </c>
      <c r="H813" s="5">
        <v>5273.37</v>
      </c>
    </row>
    <row r="814" spans="1:8" x14ac:dyDescent="0.25">
      <c r="A814" s="4">
        <v>1813</v>
      </c>
      <c r="B814" s="3">
        <v>45402</v>
      </c>
      <c r="C814" s="2" t="s">
        <v>19</v>
      </c>
      <c r="D814" s="2" t="s">
        <v>15</v>
      </c>
      <c r="E814" s="2" t="s">
        <v>14</v>
      </c>
      <c r="F814" s="2">
        <v>7</v>
      </c>
      <c r="G814" s="2">
        <v>1399.59</v>
      </c>
      <c r="H814" s="5">
        <v>9797.1299999999992</v>
      </c>
    </row>
    <row r="815" spans="1:8" x14ac:dyDescent="0.25">
      <c r="A815" s="4">
        <v>1814</v>
      </c>
      <c r="B815" s="3">
        <v>45561</v>
      </c>
      <c r="C815" s="2" t="s">
        <v>8</v>
      </c>
      <c r="D815" s="2" t="s">
        <v>18</v>
      </c>
      <c r="E815" s="2" t="s">
        <v>12</v>
      </c>
      <c r="F815" s="2">
        <v>1</v>
      </c>
      <c r="G815" s="2">
        <v>1053.9000000000001</v>
      </c>
      <c r="H815" s="5">
        <v>1053.9000000000001</v>
      </c>
    </row>
    <row r="816" spans="1:8" x14ac:dyDescent="0.25">
      <c r="A816" s="4">
        <v>1815</v>
      </c>
      <c r="B816" s="3">
        <v>45471</v>
      </c>
      <c r="C816" s="2" t="s">
        <v>11</v>
      </c>
      <c r="D816" s="2" t="s">
        <v>18</v>
      </c>
      <c r="E816" s="2" t="s">
        <v>21</v>
      </c>
      <c r="F816" s="2">
        <v>4</v>
      </c>
      <c r="G816" s="2">
        <v>1281.8</v>
      </c>
      <c r="H816" s="5">
        <v>5127.2</v>
      </c>
    </row>
    <row r="817" spans="1:8" x14ac:dyDescent="0.25">
      <c r="A817" s="4">
        <v>1816</v>
      </c>
      <c r="B817" s="3">
        <v>45394</v>
      </c>
      <c r="C817" s="2" t="s">
        <v>19</v>
      </c>
      <c r="D817" s="2" t="s">
        <v>9</v>
      </c>
      <c r="E817" s="2" t="s">
        <v>14</v>
      </c>
      <c r="F817" s="2">
        <v>9</v>
      </c>
      <c r="G817" s="2">
        <v>1289.32</v>
      </c>
      <c r="H817" s="5">
        <v>11603.88</v>
      </c>
    </row>
    <row r="818" spans="1:8" x14ac:dyDescent="0.25">
      <c r="A818" s="4">
        <v>1817</v>
      </c>
      <c r="B818" s="3">
        <v>45600</v>
      </c>
      <c r="C818" s="2" t="s">
        <v>19</v>
      </c>
      <c r="D818" s="2" t="s">
        <v>18</v>
      </c>
      <c r="E818" s="2" t="s">
        <v>21</v>
      </c>
      <c r="F818" s="2">
        <v>15</v>
      </c>
      <c r="G818" s="2">
        <v>1371.72</v>
      </c>
      <c r="H818" s="5">
        <v>20575.8</v>
      </c>
    </row>
    <row r="819" spans="1:8" x14ac:dyDescent="0.25">
      <c r="A819" s="4">
        <v>1818</v>
      </c>
      <c r="B819" s="3">
        <v>45364</v>
      </c>
      <c r="C819" s="2" t="s">
        <v>11</v>
      </c>
      <c r="D819" s="2" t="s">
        <v>20</v>
      </c>
      <c r="E819" s="2" t="s">
        <v>21</v>
      </c>
      <c r="F819" s="2">
        <v>5</v>
      </c>
      <c r="G819" s="2">
        <v>683.19</v>
      </c>
      <c r="H819" s="5">
        <v>3415.95</v>
      </c>
    </row>
    <row r="820" spans="1:8" x14ac:dyDescent="0.25">
      <c r="A820" s="4">
        <v>1819</v>
      </c>
      <c r="B820" s="3">
        <v>45519</v>
      </c>
      <c r="C820" s="2" t="s">
        <v>17</v>
      </c>
      <c r="D820" s="2" t="s">
        <v>18</v>
      </c>
      <c r="E820" s="2" t="s">
        <v>16</v>
      </c>
      <c r="F820" s="2">
        <v>14</v>
      </c>
      <c r="G820" s="2">
        <v>1359.71</v>
      </c>
      <c r="H820" s="5">
        <v>19035.939999999999</v>
      </c>
    </row>
    <row r="821" spans="1:8" x14ac:dyDescent="0.25">
      <c r="A821" s="4">
        <v>1820</v>
      </c>
      <c r="B821" s="3">
        <v>45611</v>
      </c>
      <c r="C821" s="2" t="s">
        <v>17</v>
      </c>
      <c r="D821" s="2" t="s">
        <v>9</v>
      </c>
      <c r="E821" s="2" t="s">
        <v>21</v>
      </c>
      <c r="F821" s="2">
        <v>10</v>
      </c>
      <c r="G821" s="2">
        <v>701.02</v>
      </c>
      <c r="H821" s="5">
        <v>7010.2</v>
      </c>
    </row>
    <row r="822" spans="1:8" x14ac:dyDescent="0.25">
      <c r="A822" s="4">
        <v>1821</v>
      </c>
      <c r="B822" s="3">
        <v>45297</v>
      </c>
      <c r="C822" s="2" t="s">
        <v>19</v>
      </c>
      <c r="D822" s="2" t="s">
        <v>9</v>
      </c>
      <c r="E822" s="2" t="s">
        <v>21</v>
      </c>
      <c r="F822" s="2">
        <v>18</v>
      </c>
      <c r="G822" s="2">
        <v>758.76</v>
      </c>
      <c r="H822" s="5">
        <v>13657.68</v>
      </c>
    </row>
    <row r="823" spans="1:8" x14ac:dyDescent="0.25">
      <c r="A823" s="4">
        <v>1822</v>
      </c>
      <c r="B823" s="3">
        <v>45613</v>
      </c>
      <c r="C823" s="2" t="s">
        <v>8</v>
      </c>
      <c r="D823" s="2" t="s">
        <v>15</v>
      </c>
      <c r="E823" s="2" t="s">
        <v>10</v>
      </c>
      <c r="F823" s="2">
        <v>13</v>
      </c>
      <c r="G823" s="2">
        <v>1297.77</v>
      </c>
      <c r="H823" s="5">
        <v>16871.009999999998</v>
      </c>
    </row>
    <row r="824" spans="1:8" x14ac:dyDescent="0.25">
      <c r="A824" s="4">
        <v>1823</v>
      </c>
      <c r="B824" s="3">
        <v>45369</v>
      </c>
      <c r="C824" s="2" t="s">
        <v>8</v>
      </c>
      <c r="D824" s="2" t="s">
        <v>18</v>
      </c>
      <c r="E824" s="2" t="s">
        <v>16</v>
      </c>
      <c r="F824" s="2">
        <v>19</v>
      </c>
      <c r="G824" s="2">
        <v>1142.6600000000001</v>
      </c>
      <c r="H824" s="5">
        <v>21710.54</v>
      </c>
    </row>
    <row r="825" spans="1:8" x14ac:dyDescent="0.25">
      <c r="A825" s="4">
        <v>1824</v>
      </c>
      <c r="B825" s="3">
        <v>45450</v>
      </c>
      <c r="C825" s="2" t="s">
        <v>11</v>
      </c>
      <c r="D825" s="2" t="s">
        <v>18</v>
      </c>
      <c r="E825" s="2" t="s">
        <v>12</v>
      </c>
      <c r="F825" s="2">
        <v>11</v>
      </c>
      <c r="G825" s="2">
        <v>730.92</v>
      </c>
      <c r="H825" s="5">
        <v>8040.12</v>
      </c>
    </row>
    <row r="826" spans="1:8" x14ac:dyDescent="0.25">
      <c r="A826" s="4">
        <v>1825</v>
      </c>
      <c r="B826" s="3">
        <v>45648</v>
      </c>
      <c r="C826" s="2" t="s">
        <v>13</v>
      </c>
      <c r="D826" s="2" t="s">
        <v>20</v>
      </c>
      <c r="E826" s="2" t="s">
        <v>14</v>
      </c>
      <c r="F826" s="2">
        <v>10</v>
      </c>
      <c r="G826" s="2">
        <v>1079.2</v>
      </c>
      <c r="H826" s="5">
        <v>10792</v>
      </c>
    </row>
    <row r="827" spans="1:8" x14ac:dyDescent="0.25">
      <c r="A827" s="4">
        <v>1826</v>
      </c>
      <c r="B827" s="3">
        <v>45353</v>
      </c>
      <c r="C827" s="2" t="s">
        <v>11</v>
      </c>
      <c r="D827" s="2" t="s">
        <v>18</v>
      </c>
      <c r="E827" s="2" t="s">
        <v>10</v>
      </c>
      <c r="F827" s="2">
        <v>7</v>
      </c>
      <c r="G827" s="2">
        <v>1440.59</v>
      </c>
      <c r="H827" s="5">
        <v>10084.129999999999</v>
      </c>
    </row>
    <row r="828" spans="1:8" x14ac:dyDescent="0.25">
      <c r="A828" s="4">
        <v>1827</v>
      </c>
      <c r="B828" s="3">
        <v>45519</v>
      </c>
      <c r="C828" s="2" t="s">
        <v>13</v>
      </c>
      <c r="D828" s="2" t="s">
        <v>20</v>
      </c>
      <c r="E828" s="2" t="s">
        <v>14</v>
      </c>
      <c r="F828" s="2">
        <v>4</v>
      </c>
      <c r="G828" s="2">
        <v>599.51</v>
      </c>
      <c r="H828" s="5">
        <v>2398.04</v>
      </c>
    </row>
    <row r="829" spans="1:8" x14ac:dyDescent="0.25">
      <c r="A829" s="4">
        <v>1828</v>
      </c>
      <c r="B829" s="3">
        <v>45552</v>
      </c>
      <c r="C829" s="2" t="s">
        <v>19</v>
      </c>
      <c r="D829" s="2" t="s">
        <v>18</v>
      </c>
      <c r="E829" s="2" t="s">
        <v>14</v>
      </c>
      <c r="F829" s="2">
        <v>17</v>
      </c>
      <c r="G829" s="2">
        <v>1478.2</v>
      </c>
      <c r="H829" s="5">
        <v>25129.4</v>
      </c>
    </row>
    <row r="830" spans="1:8" x14ac:dyDescent="0.25">
      <c r="A830" s="4">
        <v>1829</v>
      </c>
      <c r="B830" s="3">
        <v>45508</v>
      </c>
      <c r="C830" s="2" t="s">
        <v>8</v>
      </c>
      <c r="D830" s="2" t="s">
        <v>15</v>
      </c>
      <c r="E830" s="2" t="s">
        <v>12</v>
      </c>
      <c r="F830" s="2">
        <v>2</v>
      </c>
      <c r="G830" s="2">
        <v>1278.31</v>
      </c>
      <c r="H830" s="5">
        <v>2556.62</v>
      </c>
    </row>
    <row r="831" spans="1:8" x14ac:dyDescent="0.25">
      <c r="A831" s="4">
        <v>1830</v>
      </c>
      <c r="B831" s="3">
        <v>45506</v>
      </c>
      <c r="C831" s="2" t="s">
        <v>19</v>
      </c>
      <c r="D831" s="2" t="s">
        <v>20</v>
      </c>
      <c r="E831" s="2" t="s">
        <v>21</v>
      </c>
      <c r="F831" s="2">
        <v>11</v>
      </c>
      <c r="G831" s="2">
        <v>1384.47</v>
      </c>
      <c r="H831" s="5">
        <v>15229.17</v>
      </c>
    </row>
    <row r="832" spans="1:8" x14ac:dyDescent="0.25">
      <c r="A832" s="4">
        <v>1831</v>
      </c>
      <c r="B832" s="3">
        <v>45524</v>
      </c>
      <c r="C832" s="2" t="s">
        <v>8</v>
      </c>
      <c r="D832" s="2" t="s">
        <v>18</v>
      </c>
      <c r="E832" s="2" t="s">
        <v>21</v>
      </c>
      <c r="F832" s="2">
        <v>17</v>
      </c>
      <c r="G832" s="2">
        <v>92.75</v>
      </c>
      <c r="H832" s="5">
        <v>1576.75</v>
      </c>
    </row>
    <row r="833" spans="1:8" x14ac:dyDescent="0.25">
      <c r="A833" s="4">
        <v>1832</v>
      </c>
      <c r="B833" s="3">
        <v>45459</v>
      </c>
      <c r="C833" s="2" t="s">
        <v>13</v>
      </c>
      <c r="D833" s="2" t="s">
        <v>18</v>
      </c>
      <c r="E833" s="2" t="s">
        <v>21</v>
      </c>
      <c r="F833" s="2">
        <v>6</v>
      </c>
      <c r="G833" s="2">
        <v>913.73</v>
      </c>
      <c r="H833" s="5">
        <v>5482.38</v>
      </c>
    </row>
    <row r="834" spans="1:8" x14ac:dyDescent="0.25">
      <c r="A834" s="4">
        <v>1833</v>
      </c>
      <c r="B834" s="3">
        <v>45374</v>
      </c>
      <c r="C834" s="2" t="s">
        <v>19</v>
      </c>
      <c r="D834" s="2" t="s">
        <v>20</v>
      </c>
      <c r="E834" s="2" t="s">
        <v>21</v>
      </c>
      <c r="F834" s="2">
        <v>2</v>
      </c>
      <c r="G834" s="2">
        <v>486.16</v>
      </c>
      <c r="H834" s="5">
        <v>972.32</v>
      </c>
    </row>
    <row r="835" spans="1:8" x14ac:dyDescent="0.25">
      <c r="A835" s="4">
        <v>1834</v>
      </c>
      <c r="B835" s="3">
        <v>45447</v>
      </c>
      <c r="C835" s="2" t="s">
        <v>13</v>
      </c>
      <c r="D835" s="2" t="s">
        <v>18</v>
      </c>
      <c r="E835" s="2" t="s">
        <v>12</v>
      </c>
      <c r="F835" s="2">
        <v>1</v>
      </c>
      <c r="G835" s="2">
        <v>117.86</v>
      </c>
      <c r="H835" s="5">
        <v>117.86</v>
      </c>
    </row>
    <row r="836" spans="1:8" x14ac:dyDescent="0.25">
      <c r="A836" s="4">
        <v>1835</v>
      </c>
      <c r="B836" s="3">
        <v>45474</v>
      </c>
      <c r="C836" s="2" t="s">
        <v>11</v>
      </c>
      <c r="D836" s="2" t="s">
        <v>15</v>
      </c>
      <c r="E836" s="2" t="s">
        <v>10</v>
      </c>
      <c r="F836" s="2">
        <v>17</v>
      </c>
      <c r="G836" s="2">
        <v>1082.93</v>
      </c>
      <c r="H836" s="5">
        <v>18409.810000000001</v>
      </c>
    </row>
    <row r="837" spans="1:8" x14ac:dyDescent="0.25">
      <c r="A837" s="4">
        <v>1836</v>
      </c>
      <c r="B837" s="3">
        <v>45598</v>
      </c>
      <c r="C837" s="2" t="s">
        <v>11</v>
      </c>
      <c r="D837" s="2" t="s">
        <v>9</v>
      </c>
      <c r="E837" s="2" t="s">
        <v>21</v>
      </c>
      <c r="F837" s="2">
        <v>7</v>
      </c>
      <c r="G837" s="2">
        <v>984.95</v>
      </c>
      <c r="H837" s="5">
        <v>6894.6500000000005</v>
      </c>
    </row>
    <row r="838" spans="1:8" x14ac:dyDescent="0.25">
      <c r="A838" s="4">
        <v>1837</v>
      </c>
      <c r="B838" s="3">
        <v>45541</v>
      </c>
      <c r="C838" s="2" t="s">
        <v>19</v>
      </c>
      <c r="D838" s="2" t="s">
        <v>9</v>
      </c>
      <c r="E838" s="2" t="s">
        <v>21</v>
      </c>
      <c r="F838" s="2">
        <v>3</v>
      </c>
      <c r="G838" s="2">
        <v>141.54</v>
      </c>
      <c r="H838" s="5">
        <v>424.62</v>
      </c>
    </row>
    <row r="839" spans="1:8" x14ac:dyDescent="0.25">
      <c r="A839" s="4">
        <v>1838</v>
      </c>
      <c r="B839" s="3">
        <v>45606</v>
      </c>
      <c r="C839" s="2" t="s">
        <v>17</v>
      </c>
      <c r="D839" s="2" t="s">
        <v>18</v>
      </c>
      <c r="E839" s="2" t="s">
        <v>14</v>
      </c>
      <c r="F839" s="2">
        <v>15</v>
      </c>
      <c r="G839" s="2">
        <v>792.44</v>
      </c>
      <c r="H839" s="5">
        <v>11886.6</v>
      </c>
    </row>
    <row r="840" spans="1:8" x14ac:dyDescent="0.25">
      <c r="A840" s="4">
        <v>1839</v>
      </c>
      <c r="B840" s="3">
        <v>45606</v>
      </c>
      <c r="C840" s="2" t="s">
        <v>11</v>
      </c>
      <c r="D840" s="2" t="s">
        <v>15</v>
      </c>
      <c r="E840" s="2" t="s">
        <v>16</v>
      </c>
      <c r="F840" s="2">
        <v>11</v>
      </c>
      <c r="G840" s="2">
        <v>695.49</v>
      </c>
      <c r="H840" s="5">
        <v>7650.39</v>
      </c>
    </row>
    <row r="841" spans="1:8" x14ac:dyDescent="0.25">
      <c r="A841" s="4">
        <v>1840</v>
      </c>
      <c r="B841" s="3">
        <v>45510</v>
      </c>
      <c r="C841" s="2" t="s">
        <v>8</v>
      </c>
      <c r="D841" s="2" t="s">
        <v>20</v>
      </c>
      <c r="E841" s="2" t="s">
        <v>14</v>
      </c>
      <c r="F841" s="2">
        <v>8</v>
      </c>
      <c r="G841" s="2">
        <v>355.18</v>
      </c>
      <c r="H841" s="5">
        <v>2841.44</v>
      </c>
    </row>
    <row r="842" spans="1:8" x14ac:dyDescent="0.25">
      <c r="A842" s="4">
        <v>1841</v>
      </c>
      <c r="B842" s="3">
        <v>45590</v>
      </c>
      <c r="C842" s="2" t="s">
        <v>11</v>
      </c>
      <c r="D842" s="2" t="s">
        <v>15</v>
      </c>
      <c r="E842" s="2" t="s">
        <v>16</v>
      </c>
      <c r="F842" s="2">
        <v>3</v>
      </c>
      <c r="G842" s="2">
        <v>527.88</v>
      </c>
      <c r="H842" s="5">
        <v>1583.64</v>
      </c>
    </row>
    <row r="843" spans="1:8" x14ac:dyDescent="0.25">
      <c r="A843" s="4">
        <v>1842</v>
      </c>
      <c r="B843" s="3">
        <v>45312</v>
      </c>
      <c r="C843" s="2" t="s">
        <v>8</v>
      </c>
      <c r="D843" s="2" t="s">
        <v>18</v>
      </c>
      <c r="E843" s="2" t="s">
        <v>10</v>
      </c>
      <c r="F843" s="2">
        <v>2</v>
      </c>
      <c r="G843" s="2">
        <v>1260.72</v>
      </c>
      <c r="H843" s="5">
        <v>2521.44</v>
      </c>
    </row>
    <row r="844" spans="1:8" x14ac:dyDescent="0.25">
      <c r="A844" s="4">
        <v>1843</v>
      </c>
      <c r="B844" s="3">
        <v>45351</v>
      </c>
      <c r="C844" s="2" t="s">
        <v>8</v>
      </c>
      <c r="D844" s="2" t="s">
        <v>18</v>
      </c>
      <c r="E844" s="2" t="s">
        <v>12</v>
      </c>
      <c r="F844" s="2">
        <v>13</v>
      </c>
      <c r="G844" s="2">
        <v>264.31</v>
      </c>
      <c r="H844" s="5">
        <v>3436.03</v>
      </c>
    </row>
    <row r="845" spans="1:8" x14ac:dyDescent="0.25">
      <c r="A845" s="4">
        <v>1844</v>
      </c>
      <c r="B845" s="3">
        <v>45422</v>
      </c>
      <c r="C845" s="2" t="s">
        <v>19</v>
      </c>
      <c r="D845" s="2" t="s">
        <v>9</v>
      </c>
      <c r="E845" s="2" t="s">
        <v>14</v>
      </c>
      <c r="F845" s="2">
        <v>19</v>
      </c>
      <c r="G845" s="2">
        <v>879.18</v>
      </c>
      <c r="H845" s="5">
        <v>16704.419999999998</v>
      </c>
    </row>
    <row r="846" spans="1:8" x14ac:dyDescent="0.25">
      <c r="A846" s="4">
        <v>1845</v>
      </c>
      <c r="B846" s="3">
        <v>45433</v>
      </c>
      <c r="C846" s="2" t="s">
        <v>8</v>
      </c>
      <c r="D846" s="2" t="s">
        <v>15</v>
      </c>
      <c r="E846" s="2" t="s">
        <v>10</v>
      </c>
      <c r="F846" s="2">
        <v>1</v>
      </c>
      <c r="G846" s="2">
        <v>977.13</v>
      </c>
      <c r="H846" s="5">
        <v>977.13</v>
      </c>
    </row>
    <row r="847" spans="1:8" x14ac:dyDescent="0.25">
      <c r="A847" s="4">
        <v>1846</v>
      </c>
      <c r="B847" s="3">
        <v>45582</v>
      </c>
      <c r="C847" s="2" t="s">
        <v>17</v>
      </c>
      <c r="D847" s="2" t="s">
        <v>20</v>
      </c>
      <c r="E847" s="2" t="s">
        <v>12</v>
      </c>
      <c r="F847" s="2">
        <v>13</v>
      </c>
      <c r="G847" s="2">
        <v>707.09</v>
      </c>
      <c r="H847" s="5">
        <v>9192.17</v>
      </c>
    </row>
    <row r="848" spans="1:8" x14ac:dyDescent="0.25">
      <c r="A848" s="4">
        <v>1847</v>
      </c>
      <c r="B848" s="3">
        <v>45462</v>
      </c>
      <c r="C848" s="2" t="s">
        <v>13</v>
      </c>
      <c r="D848" s="2" t="s">
        <v>9</v>
      </c>
      <c r="E848" s="2" t="s">
        <v>14</v>
      </c>
      <c r="F848" s="2">
        <v>1</v>
      </c>
      <c r="G848" s="2">
        <v>404.9</v>
      </c>
      <c r="H848" s="5">
        <v>404.9</v>
      </c>
    </row>
    <row r="849" spans="1:8" x14ac:dyDescent="0.25">
      <c r="A849" s="4">
        <v>1848</v>
      </c>
      <c r="B849" s="3">
        <v>45389</v>
      </c>
      <c r="C849" s="2" t="s">
        <v>17</v>
      </c>
      <c r="D849" s="2" t="s">
        <v>9</v>
      </c>
      <c r="E849" s="2" t="s">
        <v>21</v>
      </c>
      <c r="F849" s="2">
        <v>11</v>
      </c>
      <c r="G849" s="2">
        <v>1046.25</v>
      </c>
      <c r="H849" s="5">
        <v>11508.75</v>
      </c>
    </row>
    <row r="850" spans="1:8" x14ac:dyDescent="0.25">
      <c r="A850" s="4">
        <v>1849</v>
      </c>
      <c r="B850" s="3">
        <v>45638</v>
      </c>
      <c r="C850" s="2" t="s">
        <v>13</v>
      </c>
      <c r="D850" s="2" t="s">
        <v>18</v>
      </c>
      <c r="E850" s="2" t="s">
        <v>14</v>
      </c>
      <c r="F850" s="2">
        <v>11</v>
      </c>
      <c r="G850" s="2">
        <v>960.42</v>
      </c>
      <c r="H850" s="5">
        <v>10564.62</v>
      </c>
    </row>
    <row r="851" spans="1:8" x14ac:dyDescent="0.25">
      <c r="A851" s="4">
        <v>1850</v>
      </c>
      <c r="B851" s="3">
        <v>45606</v>
      </c>
      <c r="C851" s="2" t="s">
        <v>19</v>
      </c>
      <c r="D851" s="2" t="s">
        <v>20</v>
      </c>
      <c r="E851" s="2" t="s">
        <v>14</v>
      </c>
      <c r="F851" s="2">
        <v>3</v>
      </c>
      <c r="G851" s="2">
        <v>782.79</v>
      </c>
      <c r="H851" s="5">
        <v>2348.37</v>
      </c>
    </row>
    <row r="852" spans="1:8" x14ac:dyDescent="0.25">
      <c r="A852" s="4">
        <v>1851</v>
      </c>
      <c r="B852" s="3">
        <v>45438</v>
      </c>
      <c r="C852" s="2" t="s">
        <v>8</v>
      </c>
      <c r="D852" s="2" t="s">
        <v>15</v>
      </c>
      <c r="E852" s="2" t="s">
        <v>12</v>
      </c>
      <c r="F852" s="2">
        <v>11</v>
      </c>
      <c r="G852" s="2">
        <v>836</v>
      </c>
      <c r="H852" s="5">
        <v>9196</v>
      </c>
    </row>
    <row r="853" spans="1:8" x14ac:dyDescent="0.25">
      <c r="A853" s="4">
        <v>1852</v>
      </c>
      <c r="B853" s="3">
        <v>45419</v>
      </c>
      <c r="C853" s="2" t="s">
        <v>19</v>
      </c>
      <c r="D853" s="2" t="s">
        <v>15</v>
      </c>
      <c r="E853" s="2" t="s">
        <v>16</v>
      </c>
      <c r="F853" s="2">
        <v>1</v>
      </c>
      <c r="G853" s="2">
        <v>606.12</v>
      </c>
      <c r="H853" s="5">
        <v>606.12</v>
      </c>
    </row>
    <row r="854" spans="1:8" x14ac:dyDescent="0.25">
      <c r="A854" s="4">
        <v>1853</v>
      </c>
      <c r="B854" s="3">
        <v>45528</v>
      </c>
      <c r="C854" s="2" t="s">
        <v>11</v>
      </c>
      <c r="D854" s="2" t="s">
        <v>15</v>
      </c>
      <c r="E854" s="2" t="s">
        <v>12</v>
      </c>
      <c r="F854" s="2">
        <v>15</v>
      </c>
      <c r="G854" s="2">
        <v>264.86</v>
      </c>
      <c r="H854" s="5">
        <v>3972.9</v>
      </c>
    </row>
    <row r="855" spans="1:8" x14ac:dyDescent="0.25">
      <c r="A855" s="4">
        <v>1854</v>
      </c>
      <c r="B855" s="3">
        <v>45601</v>
      </c>
      <c r="C855" s="2" t="s">
        <v>19</v>
      </c>
      <c r="D855" s="2" t="s">
        <v>15</v>
      </c>
      <c r="E855" s="2" t="s">
        <v>10</v>
      </c>
      <c r="F855" s="2">
        <v>11</v>
      </c>
      <c r="G855" s="2">
        <v>804</v>
      </c>
      <c r="H855" s="5">
        <v>8844</v>
      </c>
    </row>
    <row r="856" spans="1:8" x14ac:dyDescent="0.25">
      <c r="A856" s="4">
        <v>1855</v>
      </c>
      <c r="B856" s="3">
        <v>45628</v>
      </c>
      <c r="C856" s="2" t="s">
        <v>17</v>
      </c>
      <c r="D856" s="2" t="s">
        <v>15</v>
      </c>
      <c r="E856" s="2" t="s">
        <v>21</v>
      </c>
      <c r="F856" s="2">
        <v>18</v>
      </c>
      <c r="G856" s="2">
        <v>507.5</v>
      </c>
      <c r="H856" s="5">
        <v>9135</v>
      </c>
    </row>
    <row r="857" spans="1:8" x14ac:dyDescent="0.25">
      <c r="A857" s="4">
        <v>1856</v>
      </c>
      <c r="B857" s="3">
        <v>45425</v>
      </c>
      <c r="C857" s="2" t="s">
        <v>13</v>
      </c>
      <c r="D857" s="2" t="s">
        <v>20</v>
      </c>
      <c r="E857" s="2" t="s">
        <v>10</v>
      </c>
      <c r="F857" s="2">
        <v>2</v>
      </c>
      <c r="G857" s="2">
        <v>1049.6600000000001</v>
      </c>
      <c r="H857" s="5">
        <v>2099.3200000000002</v>
      </c>
    </row>
    <row r="858" spans="1:8" x14ac:dyDescent="0.25">
      <c r="A858" s="4">
        <v>1857</v>
      </c>
      <c r="B858" s="3">
        <v>45480</v>
      </c>
      <c r="C858" s="2" t="s">
        <v>13</v>
      </c>
      <c r="D858" s="2" t="s">
        <v>15</v>
      </c>
      <c r="E858" s="2" t="s">
        <v>16</v>
      </c>
      <c r="F858" s="2">
        <v>4</v>
      </c>
      <c r="G858" s="2">
        <v>667.92</v>
      </c>
      <c r="H858" s="5">
        <v>2671.68</v>
      </c>
    </row>
    <row r="859" spans="1:8" x14ac:dyDescent="0.25">
      <c r="A859" s="4">
        <v>1858</v>
      </c>
      <c r="B859" s="3">
        <v>45571</v>
      </c>
      <c r="C859" s="2" t="s">
        <v>13</v>
      </c>
      <c r="D859" s="2" t="s">
        <v>15</v>
      </c>
      <c r="E859" s="2" t="s">
        <v>14</v>
      </c>
      <c r="F859" s="2">
        <v>7</v>
      </c>
      <c r="G859" s="2">
        <v>253.92</v>
      </c>
      <c r="H859" s="5">
        <v>1777.44</v>
      </c>
    </row>
    <row r="860" spans="1:8" x14ac:dyDescent="0.25">
      <c r="A860" s="4">
        <v>1859</v>
      </c>
      <c r="B860" s="3">
        <v>45622</v>
      </c>
      <c r="C860" s="2" t="s">
        <v>19</v>
      </c>
      <c r="D860" s="2" t="s">
        <v>18</v>
      </c>
      <c r="E860" s="2" t="s">
        <v>10</v>
      </c>
      <c r="F860" s="2">
        <v>19</v>
      </c>
      <c r="G860" s="2">
        <v>480.02</v>
      </c>
      <c r="H860" s="5">
        <v>9120.3799999999992</v>
      </c>
    </row>
    <row r="861" spans="1:8" x14ac:dyDescent="0.25">
      <c r="A861" s="4">
        <v>1860</v>
      </c>
      <c r="B861" s="3">
        <v>45460</v>
      </c>
      <c r="C861" s="2" t="s">
        <v>19</v>
      </c>
      <c r="D861" s="2" t="s">
        <v>9</v>
      </c>
      <c r="E861" s="2" t="s">
        <v>12</v>
      </c>
      <c r="F861" s="2">
        <v>12</v>
      </c>
      <c r="G861" s="2">
        <v>1469.27</v>
      </c>
      <c r="H861" s="5">
        <v>17631.240000000002</v>
      </c>
    </row>
    <row r="862" spans="1:8" x14ac:dyDescent="0.25">
      <c r="A862" s="4">
        <v>1861</v>
      </c>
      <c r="B862" s="3">
        <v>45340</v>
      </c>
      <c r="C862" s="2" t="s">
        <v>8</v>
      </c>
      <c r="D862" s="2" t="s">
        <v>15</v>
      </c>
      <c r="E862" s="2" t="s">
        <v>21</v>
      </c>
      <c r="F862" s="2">
        <v>14</v>
      </c>
      <c r="G862" s="2">
        <v>141.12</v>
      </c>
      <c r="H862" s="5">
        <v>1975.68</v>
      </c>
    </row>
    <row r="863" spans="1:8" x14ac:dyDescent="0.25">
      <c r="A863" s="4">
        <v>1862</v>
      </c>
      <c r="B863" s="3">
        <v>45508</v>
      </c>
      <c r="C863" s="2" t="s">
        <v>8</v>
      </c>
      <c r="D863" s="2" t="s">
        <v>18</v>
      </c>
      <c r="E863" s="2" t="s">
        <v>21</v>
      </c>
      <c r="F863" s="2">
        <v>1</v>
      </c>
      <c r="G863" s="2">
        <v>1358.11</v>
      </c>
      <c r="H863" s="5">
        <v>1358.11</v>
      </c>
    </row>
    <row r="864" spans="1:8" x14ac:dyDescent="0.25">
      <c r="A864" s="4">
        <v>1863</v>
      </c>
      <c r="B864" s="3">
        <v>45501</v>
      </c>
      <c r="C864" s="2" t="s">
        <v>11</v>
      </c>
      <c r="D864" s="2" t="s">
        <v>9</v>
      </c>
      <c r="E864" s="2" t="s">
        <v>21</v>
      </c>
      <c r="F864" s="2">
        <v>18</v>
      </c>
      <c r="G864" s="2">
        <v>1340.22</v>
      </c>
      <c r="H864" s="5">
        <v>24123.96</v>
      </c>
    </row>
    <row r="865" spans="1:8" x14ac:dyDescent="0.25">
      <c r="A865" s="4">
        <v>1864</v>
      </c>
      <c r="B865" s="3">
        <v>45365</v>
      </c>
      <c r="C865" s="2" t="s">
        <v>19</v>
      </c>
      <c r="D865" s="2" t="s">
        <v>18</v>
      </c>
      <c r="E865" s="2" t="s">
        <v>12</v>
      </c>
      <c r="F865" s="2">
        <v>14</v>
      </c>
      <c r="G865" s="2">
        <v>1429.28</v>
      </c>
      <c r="H865" s="5">
        <v>20009.919999999998</v>
      </c>
    </row>
    <row r="866" spans="1:8" x14ac:dyDescent="0.25">
      <c r="A866" s="4">
        <v>1865</v>
      </c>
      <c r="B866" s="3">
        <v>45401</v>
      </c>
      <c r="C866" s="2" t="s">
        <v>8</v>
      </c>
      <c r="D866" s="2" t="s">
        <v>15</v>
      </c>
      <c r="E866" s="2" t="s">
        <v>10</v>
      </c>
      <c r="F866" s="2">
        <v>8</v>
      </c>
      <c r="G866" s="2">
        <v>990.04</v>
      </c>
      <c r="H866" s="5">
        <v>7920.32</v>
      </c>
    </row>
    <row r="867" spans="1:8" x14ac:dyDescent="0.25">
      <c r="A867" s="4">
        <v>1866</v>
      </c>
      <c r="B867" s="3">
        <v>45532</v>
      </c>
      <c r="C867" s="2" t="s">
        <v>13</v>
      </c>
      <c r="D867" s="2" t="s">
        <v>15</v>
      </c>
      <c r="E867" s="2" t="s">
        <v>21</v>
      </c>
      <c r="F867" s="2">
        <v>11</v>
      </c>
      <c r="G867" s="2">
        <v>790.39</v>
      </c>
      <c r="H867" s="5">
        <v>8694.2899999999991</v>
      </c>
    </row>
    <row r="868" spans="1:8" x14ac:dyDescent="0.25">
      <c r="A868" s="4">
        <v>1867</v>
      </c>
      <c r="B868" s="3">
        <v>45417</v>
      </c>
      <c r="C868" s="2" t="s">
        <v>11</v>
      </c>
      <c r="D868" s="2" t="s">
        <v>18</v>
      </c>
      <c r="E868" s="2" t="s">
        <v>21</v>
      </c>
      <c r="F868" s="2">
        <v>3</v>
      </c>
      <c r="G868" s="2">
        <v>506.47</v>
      </c>
      <c r="H868" s="5">
        <v>1519.41</v>
      </c>
    </row>
    <row r="869" spans="1:8" x14ac:dyDescent="0.25">
      <c r="A869" s="4">
        <v>1868</v>
      </c>
      <c r="B869" s="3">
        <v>45523</v>
      </c>
      <c r="C869" s="2" t="s">
        <v>13</v>
      </c>
      <c r="D869" s="2" t="s">
        <v>18</v>
      </c>
      <c r="E869" s="2" t="s">
        <v>12</v>
      </c>
      <c r="F869" s="2">
        <v>10</v>
      </c>
      <c r="G869" s="2">
        <v>795.42</v>
      </c>
      <c r="H869" s="5">
        <v>7954.2</v>
      </c>
    </row>
    <row r="870" spans="1:8" x14ac:dyDescent="0.25">
      <c r="A870" s="4">
        <v>1869</v>
      </c>
      <c r="B870" s="3">
        <v>45512</v>
      </c>
      <c r="C870" s="2" t="s">
        <v>13</v>
      </c>
      <c r="D870" s="2" t="s">
        <v>15</v>
      </c>
      <c r="E870" s="2" t="s">
        <v>16</v>
      </c>
      <c r="F870" s="2">
        <v>16</v>
      </c>
      <c r="G870" s="2">
        <v>102.32</v>
      </c>
      <c r="H870" s="5">
        <v>1637.12</v>
      </c>
    </row>
    <row r="871" spans="1:8" x14ac:dyDescent="0.25">
      <c r="A871" s="4">
        <v>1870</v>
      </c>
      <c r="B871" s="3">
        <v>45575</v>
      </c>
      <c r="C871" s="2" t="s">
        <v>17</v>
      </c>
      <c r="D871" s="2" t="s">
        <v>18</v>
      </c>
      <c r="E871" s="2" t="s">
        <v>16</v>
      </c>
      <c r="F871" s="2">
        <v>16</v>
      </c>
      <c r="G871" s="2">
        <v>792.58</v>
      </c>
      <c r="H871" s="5">
        <v>12681.28</v>
      </c>
    </row>
    <row r="872" spans="1:8" x14ac:dyDescent="0.25">
      <c r="A872" s="4">
        <v>1871</v>
      </c>
      <c r="B872" s="3">
        <v>45651</v>
      </c>
      <c r="C872" s="2" t="s">
        <v>19</v>
      </c>
      <c r="D872" s="2" t="s">
        <v>9</v>
      </c>
      <c r="E872" s="2" t="s">
        <v>10</v>
      </c>
      <c r="F872" s="2">
        <v>6</v>
      </c>
      <c r="G872" s="2">
        <v>1198.1400000000001</v>
      </c>
      <c r="H872" s="5">
        <v>7188.84</v>
      </c>
    </row>
    <row r="873" spans="1:8" x14ac:dyDescent="0.25">
      <c r="A873" s="4">
        <v>1872</v>
      </c>
      <c r="B873" s="3">
        <v>45552</v>
      </c>
      <c r="C873" s="2" t="s">
        <v>19</v>
      </c>
      <c r="D873" s="2" t="s">
        <v>9</v>
      </c>
      <c r="E873" s="2" t="s">
        <v>12</v>
      </c>
      <c r="F873" s="2">
        <v>14</v>
      </c>
      <c r="G873" s="2">
        <v>130.83000000000001</v>
      </c>
      <c r="H873" s="5">
        <v>1831.62</v>
      </c>
    </row>
    <row r="874" spans="1:8" x14ac:dyDescent="0.25">
      <c r="A874" s="4">
        <v>1873</v>
      </c>
      <c r="B874" s="3">
        <v>45571</v>
      </c>
      <c r="C874" s="2" t="s">
        <v>8</v>
      </c>
      <c r="D874" s="2" t="s">
        <v>9</v>
      </c>
      <c r="E874" s="2" t="s">
        <v>16</v>
      </c>
      <c r="F874" s="2">
        <v>9</v>
      </c>
      <c r="G874" s="2">
        <v>348.1</v>
      </c>
      <c r="H874" s="5">
        <v>3132.9</v>
      </c>
    </row>
    <row r="875" spans="1:8" x14ac:dyDescent="0.25">
      <c r="A875" s="4">
        <v>1874</v>
      </c>
      <c r="B875" s="3">
        <v>45336</v>
      </c>
      <c r="C875" s="2" t="s">
        <v>13</v>
      </c>
      <c r="D875" s="2" t="s">
        <v>20</v>
      </c>
      <c r="E875" s="2" t="s">
        <v>14</v>
      </c>
      <c r="F875" s="2">
        <v>2</v>
      </c>
      <c r="G875" s="2">
        <v>87.25</v>
      </c>
      <c r="H875" s="5">
        <v>174.5</v>
      </c>
    </row>
    <row r="876" spans="1:8" x14ac:dyDescent="0.25">
      <c r="A876" s="4">
        <v>1875</v>
      </c>
      <c r="B876" s="3">
        <v>45584</v>
      </c>
      <c r="C876" s="2" t="s">
        <v>11</v>
      </c>
      <c r="D876" s="2" t="s">
        <v>20</v>
      </c>
      <c r="E876" s="2" t="s">
        <v>12</v>
      </c>
      <c r="F876" s="2">
        <v>10</v>
      </c>
      <c r="G876" s="2">
        <v>1367.44</v>
      </c>
      <c r="H876" s="5">
        <v>13674.4</v>
      </c>
    </row>
    <row r="877" spans="1:8" x14ac:dyDescent="0.25">
      <c r="A877" s="4">
        <v>1876</v>
      </c>
      <c r="B877" s="3">
        <v>45389</v>
      </c>
      <c r="C877" s="2" t="s">
        <v>19</v>
      </c>
      <c r="D877" s="2" t="s">
        <v>15</v>
      </c>
      <c r="E877" s="2" t="s">
        <v>14</v>
      </c>
      <c r="F877" s="2">
        <v>8</v>
      </c>
      <c r="G877" s="2">
        <v>1447.3</v>
      </c>
      <c r="H877" s="5">
        <v>11578.4</v>
      </c>
    </row>
    <row r="878" spans="1:8" x14ac:dyDescent="0.25">
      <c r="A878" s="4">
        <v>1877</v>
      </c>
      <c r="B878" s="3">
        <v>45333</v>
      </c>
      <c r="C878" s="2" t="s">
        <v>17</v>
      </c>
      <c r="D878" s="2" t="s">
        <v>15</v>
      </c>
      <c r="E878" s="2" t="s">
        <v>21</v>
      </c>
      <c r="F878" s="2">
        <v>14</v>
      </c>
      <c r="G878" s="2">
        <v>121.14</v>
      </c>
      <c r="H878" s="5">
        <v>1695.96</v>
      </c>
    </row>
    <row r="879" spans="1:8" x14ac:dyDescent="0.25">
      <c r="A879" s="4">
        <v>1878</v>
      </c>
      <c r="B879" s="3">
        <v>45516</v>
      </c>
      <c r="C879" s="2" t="s">
        <v>13</v>
      </c>
      <c r="D879" s="2" t="s">
        <v>9</v>
      </c>
      <c r="E879" s="2" t="s">
        <v>10</v>
      </c>
      <c r="F879" s="2">
        <v>11</v>
      </c>
      <c r="G879" s="2">
        <v>679.69</v>
      </c>
      <c r="H879" s="5">
        <v>7476.59</v>
      </c>
    </row>
    <row r="880" spans="1:8" x14ac:dyDescent="0.25">
      <c r="A880" s="4">
        <v>1879</v>
      </c>
      <c r="B880" s="3">
        <v>45622</v>
      </c>
      <c r="C880" s="2" t="s">
        <v>11</v>
      </c>
      <c r="D880" s="2" t="s">
        <v>20</v>
      </c>
      <c r="E880" s="2" t="s">
        <v>21</v>
      </c>
      <c r="F880" s="2">
        <v>19</v>
      </c>
      <c r="G880" s="2">
        <v>831.27</v>
      </c>
      <c r="H880" s="5">
        <v>15794.13</v>
      </c>
    </row>
    <row r="881" spans="1:8" x14ac:dyDescent="0.25">
      <c r="A881" s="4">
        <v>1880</v>
      </c>
      <c r="B881" s="3">
        <v>45536</v>
      </c>
      <c r="C881" s="2" t="s">
        <v>17</v>
      </c>
      <c r="D881" s="2" t="s">
        <v>9</v>
      </c>
      <c r="E881" s="2" t="s">
        <v>14</v>
      </c>
      <c r="F881" s="2">
        <v>12</v>
      </c>
      <c r="G881" s="2">
        <v>560.89</v>
      </c>
      <c r="H881" s="5">
        <v>6730.68</v>
      </c>
    </row>
    <row r="882" spans="1:8" x14ac:dyDescent="0.25">
      <c r="A882" s="4">
        <v>1881</v>
      </c>
      <c r="B882" s="3">
        <v>45492</v>
      </c>
      <c r="C882" s="2" t="s">
        <v>8</v>
      </c>
      <c r="D882" s="2" t="s">
        <v>18</v>
      </c>
      <c r="E882" s="2" t="s">
        <v>21</v>
      </c>
      <c r="F882" s="2">
        <v>14</v>
      </c>
      <c r="G882" s="2">
        <v>1365.95</v>
      </c>
      <c r="H882" s="5">
        <v>19123.3</v>
      </c>
    </row>
    <row r="883" spans="1:8" x14ac:dyDescent="0.25">
      <c r="A883" s="4">
        <v>1882</v>
      </c>
      <c r="B883" s="3">
        <v>45576</v>
      </c>
      <c r="C883" s="2" t="s">
        <v>17</v>
      </c>
      <c r="D883" s="2" t="s">
        <v>15</v>
      </c>
      <c r="E883" s="2" t="s">
        <v>10</v>
      </c>
      <c r="F883" s="2">
        <v>2</v>
      </c>
      <c r="G883" s="2">
        <v>469.23</v>
      </c>
      <c r="H883" s="5">
        <v>938.46</v>
      </c>
    </row>
    <row r="884" spans="1:8" x14ac:dyDescent="0.25">
      <c r="A884" s="4">
        <v>1883</v>
      </c>
      <c r="B884" s="3">
        <v>45493</v>
      </c>
      <c r="C884" s="2" t="s">
        <v>13</v>
      </c>
      <c r="D884" s="2" t="s">
        <v>9</v>
      </c>
      <c r="E884" s="2" t="s">
        <v>14</v>
      </c>
      <c r="F884" s="2">
        <v>5</v>
      </c>
      <c r="G884" s="2">
        <v>725.15</v>
      </c>
      <c r="H884" s="5">
        <v>3625.75</v>
      </c>
    </row>
    <row r="885" spans="1:8" x14ac:dyDescent="0.25">
      <c r="A885" s="4">
        <v>1884</v>
      </c>
      <c r="B885" s="3">
        <v>45357</v>
      </c>
      <c r="C885" s="2" t="s">
        <v>8</v>
      </c>
      <c r="D885" s="2" t="s">
        <v>20</v>
      </c>
      <c r="E885" s="2" t="s">
        <v>21</v>
      </c>
      <c r="F885" s="2">
        <v>7</v>
      </c>
      <c r="G885" s="2">
        <v>695.25</v>
      </c>
      <c r="H885" s="5">
        <v>4866.75</v>
      </c>
    </row>
    <row r="886" spans="1:8" x14ac:dyDescent="0.25">
      <c r="A886" s="4">
        <v>1885</v>
      </c>
      <c r="B886" s="3">
        <v>45317</v>
      </c>
      <c r="C886" s="2" t="s">
        <v>8</v>
      </c>
      <c r="D886" s="2" t="s">
        <v>18</v>
      </c>
      <c r="E886" s="2" t="s">
        <v>12</v>
      </c>
      <c r="F886" s="2">
        <v>18</v>
      </c>
      <c r="G886" s="2">
        <v>1055.92</v>
      </c>
      <c r="H886" s="5">
        <v>19006.560000000001</v>
      </c>
    </row>
    <row r="887" spans="1:8" x14ac:dyDescent="0.25">
      <c r="A887" s="4">
        <v>1886</v>
      </c>
      <c r="B887" s="3">
        <v>45601</v>
      </c>
      <c r="C887" s="2" t="s">
        <v>11</v>
      </c>
      <c r="D887" s="2" t="s">
        <v>9</v>
      </c>
      <c r="E887" s="2" t="s">
        <v>16</v>
      </c>
      <c r="F887" s="2">
        <v>14</v>
      </c>
      <c r="G887" s="2">
        <v>889.98</v>
      </c>
      <c r="H887" s="5">
        <v>12459.72</v>
      </c>
    </row>
    <row r="888" spans="1:8" x14ac:dyDescent="0.25">
      <c r="A888" s="4">
        <v>1887</v>
      </c>
      <c r="B888" s="3">
        <v>45367</v>
      </c>
      <c r="C888" s="2" t="s">
        <v>19</v>
      </c>
      <c r="D888" s="2" t="s">
        <v>9</v>
      </c>
      <c r="E888" s="2" t="s">
        <v>21</v>
      </c>
      <c r="F888" s="2">
        <v>17</v>
      </c>
      <c r="G888" s="2">
        <v>552.30999999999995</v>
      </c>
      <c r="H888" s="5">
        <v>9389.2699999999986</v>
      </c>
    </row>
    <row r="889" spans="1:8" x14ac:dyDescent="0.25">
      <c r="A889" s="4">
        <v>1888</v>
      </c>
      <c r="B889" s="3">
        <v>45384</v>
      </c>
      <c r="C889" s="2" t="s">
        <v>17</v>
      </c>
      <c r="D889" s="2" t="s">
        <v>15</v>
      </c>
      <c r="E889" s="2" t="s">
        <v>12</v>
      </c>
      <c r="F889" s="2">
        <v>16</v>
      </c>
      <c r="G889" s="2">
        <v>289.73</v>
      </c>
      <c r="H889" s="5">
        <v>4635.68</v>
      </c>
    </row>
    <row r="890" spans="1:8" x14ac:dyDescent="0.25">
      <c r="A890" s="4">
        <v>1889</v>
      </c>
      <c r="B890" s="3">
        <v>45572</v>
      </c>
      <c r="C890" s="2" t="s">
        <v>13</v>
      </c>
      <c r="D890" s="2" t="s">
        <v>15</v>
      </c>
      <c r="E890" s="2" t="s">
        <v>12</v>
      </c>
      <c r="F890" s="2">
        <v>2</v>
      </c>
      <c r="G890" s="2">
        <v>1182.67</v>
      </c>
      <c r="H890" s="5">
        <v>2365.34</v>
      </c>
    </row>
    <row r="891" spans="1:8" x14ac:dyDescent="0.25">
      <c r="A891" s="4">
        <v>1890</v>
      </c>
      <c r="B891" s="3">
        <v>45310</v>
      </c>
      <c r="C891" s="2" t="s">
        <v>11</v>
      </c>
      <c r="D891" s="2" t="s">
        <v>9</v>
      </c>
      <c r="E891" s="2" t="s">
        <v>21</v>
      </c>
      <c r="F891" s="2">
        <v>9</v>
      </c>
      <c r="G891" s="2">
        <v>145.85</v>
      </c>
      <c r="H891" s="5">
        <v>1312.65</v>
      </c>
    </row>
    <row r="892" spans="1:8" x14ac:dyDescent="0.25">
      <c r="A892" s="4">
        <v>1891</v>
      </c>
      <c r="B892" s="3">
        <v>45646</v>
      </c>
      <c r="C892" s="2" t="s">
        <v>17</v>
      </c>
      <c r="D892" s="2" t="s">
        <v>9</v>
      </c>
      <c r="E892" s="2" t="s">
        <v>10</v>
      </c>
      <c r="F892" s="2">
        <v>19</v>
      </c>
      <c r="G892" s="2">
        <v>494.91</v>
      </c>
      <c r="H892" s="5">
        <v>9403.2900000000009</v>
      </c>
    </row>
    <row r="893" spans="1:8" x14ac:dyDescent="0.25">
      <c r="A893" s="4">
        <v>1892</v>
      </c>
      <c r="B893" s="3">
        <v>45396</v>
      </c>
      <c r="C893" s="2" t="s">
        <v>13</v>
      </c>
      <c r="D893" s="2" t="s">
        <v>18</v>
      </c>
      <c r="E893" s="2" t="s">
        <v>12</v>
      </c>
      <c r="F893" s="2">
        <v>19</v>
      </c>
      <c r="G893" s="2">
        <v>1420.45</v>
      </c>
      <c r="H893" s="5">
        <v>26988.55</v>
      </c>
    </row>
    <row r="894" spans="1:8" x14ac:dyDescent="0.25">
      <c r="A894" s="4">
        <v>1893</v>
      </c>
      <c r="B894" s="3">
        <v>45299</v>
      </c>
      <c r="C894" s="2" t="s">
        <v>19</v>
      </c>
      <c r="D894" s="2" t="s">
        <v>20</v>
      </c>
      <c r="E894" s="2" t="s">
        <v>21</v>
      </c>
      <c r="F894" s="2">
        <v>11</v>
      </c>
      <c r="G894" s="2">
        <v>691.44</v>
      </c>
      <c r="H894" s="5">
        <v>7605.84</v>
      </c>
    </row>
    <row r="895" spans="1:8" x14ac:dyDescent="0.25">
      <c r="A895" s="4">
        <v>1894</v>
      </c>
      <c r="B895" s="3">
        <v>45401</v>
      </c>
      <c r="C895" s="2" t="s">
        <v>11</v>
      </c>
      <c r="D895" s="2" t="s">
        <v>18</v>
      </c>
      <c r="E895" s="2" t="s">
        <v>10</v>
      </c>
      <c r="F895" s="2">
        <v>17</v>
      </c>
      <c r="G895" s="2">
        <v>995.63</v>
      </c>
      <c r="H895" s="5">
        <v>16925.71</v>
      </c>
    </row>
    <row r="896" spans="1:8" x14ac:dyDescent="0.25">
      <c r="A896" s="4">
        <v>1895</v>
      </c>
      <c r="B896" s="3">
        <v>45426</v>
      </c>
      <c r="C896" s="2" t="s">
        <v>11</v>
      </c>
      <c r="D896" s="2" t="s">
        <v>18</v>
      </c>
      <c r="E896" s="2" t="s">
        <v>12</v>
      </c>
      <c r="F896" s="2">
        <v>15</v>
      </c>
      <c r="G896" s="2">
        <v>427.32</v>
      </c>
      <c r="H896" s="5">
        <v>6409.8</v>
      </c>
    </row>
    <row r="897" spans="1:8" x14ac:dyDescent="0.25">
      <c r="A897" s="4">
        <v>1896</v>
      </c>
      <c r="B897" s="3">
        <v>45303</v>
      </c>
      <c r="C897" s="2" t="s">
        <v>17</v>
      </c>
      <c r="D897" s="2" t="s">
        <v>15</v>
      </c>
      <c r="E897" s="2" t="s">
        <v>10</v>
      </c>
      <c r="F897" s="2">
        <v>16</v>
      </c>
      <c r="G897" s="2">
        <v>51.54</v>
      </c>
      <c r="H897" s="5">
        <v>824.64</v>
      </c>
    </row>
    <row r="898" spans="1:8" x14ac:dyDescent="0.25">
      <c r="A898" s="4">
        <v>1897</v>
      </c>
      <c r="B898" s="3">
        <v>45363</v>
      </c>
      <c r="C898" s="2" t="s">
        <v>13</v>
      </c>
      <c r="D898" s="2" t="s">
        <v>9</v>
      </c>
      <c r="E898" s="2" t="s">
        <v>16</v>
      </c>
      <c r="F898" s="2">
        <v>5</v>
      </c>
      <c r="G898" s="2">
        <v>1056.44</v>
      </c>
      <c r="H898" s="5">
        <v>5282.2000000000007</v>
      </c>
    </row>
    <row r="899" spans="1:8" x14ac:dyDescent="0.25">
      <c r="A899" s="4">
        <v>1898</v>
      </c>
      <c r="B899" s="3">
        <v>45451</v>
      </c>
      <c r="C899" s="2" t="s">
        <v>17</v>
      </c>
      <c r="D899" s="2" t="s">
        <v>18</v>
      </c>
      <c r="E899" s="2" t="s">
        <v>12</v>
      </c>
      <c r="F899" s="2">
        <v>15</v>
      </c>
      <c r="G899" s="2">
        <v>613.04</v>
      </c>
      <c r="H899" s="5">
        <v>9195.5999999999985</v>
      </c>
    </row>
    <row r="900" spans="1:8" x14ac:dyDescent="0.25">
      <c r="A900" s="4">
        <v>1899</v>
      </c>
      <c r="B900" s="3">
        <v>45539</v>
      </c>
      <c r="C900" s="2" t="s">
        <v>17</v>
      </c>
      <c r="D900" s="2" t="s">
        <v>18</v>
      </c>
      <c r="E900" s="2" t="s">
        <v>12</v>
      </c>
      <c r="F900" s="2">
        <v>9</v>
      </c>
      <c r="G900" s="2">
        <v>517.67999999999995</v>
      </c>
      <c r="H900" s="5">
        <v>4659.12</v>
      </c>
    </row>
    <row r="901" spans="1:8" x14ac:dyDescent="0.25">
      <c r="A901" s="4">
        <v>1900</v>
      </c>
      <c r="B901" s="3">
        <v>45575</v>
      </c>
      <c r="C901" s="2" t="s">
        <v>11</v>
      </c>
      <c r="D901" s="2" t="s">
        <v>9</v>
      </c>
      <c r="E901" s="2" t="s">
        <v>10</v>
      </c>
      <c r="F901" s="2">
        <v>11</v>
      </c>
      <c r="G901" s="2">
        <v>897.41</v>
      </c>
      <c r="H901" s="5">
        <v>9871.51</v>
      </c>
    </row>
    <row r="902" spans="1:8" x14ac:dyDescent="0.25">
      <c r="A902" s="4">
        <v>1901</v>
      </c>
      <c r="B902" s="3">
        <v>45554</v>
      </c>
      <c r="C902" s="2" t="s">
        <v>17</v>
      </c>
      <c r="D902" s="2" t="s">
        <v>20</v>
      </c>
      <c r="E902" s="2" t="s">
        <v>12</v>
      </c>
      <c r="F902" s="2">
        <v>18</v>
      </c>
      <c r="G902" s="2">
        <v>1492.81</v>
      </c>
      <c r="H902" s="5">
        <v>26870.58</v>
      </c>
    </row>
    <row r="903" spans="1:8" x14ac:dyDescent="0.25">
      <c r="A903" s="4">
        <v>1902</v>
      </c>
      <c r="B903" s="3">
        <v>45456</v>
      </c>
      <c r="C903" s="2" t="s">
        <v>13</v>
      </c>
      <c r="D903" s="2" t="s">
        <v>9</v>
      </c>
      <c r="E903" s="2" t="s">
        <v>12</v>
      </c>
      <c r="F903" s="2">
        <v>18</v>
      </c>
      <c r="G903" s="2">
        <v>1179.92</v>
      </c>
      <c r="H903" s="5">
        <v>21238.560000000001</v>
      </c>
    </row>
    <row r="904" spans="1:8" x14ac:dyDescent="0.25">
      <c r="A904" s="4">
        <v>1903</v>
      </c>
      <c r="B904" s="3">
        <v>45346</v>
      </c>
      <c r="C904" s="2" t="s">
        <v>8</v>
      </c>
      <c r="D904" s="2" t="s">
        <v>15</v>
      </c>
      <c r="E904" s="2" t="s">
        <v>14</v>
      </c>
      <c r="F904" s="2">
        <v>4</v>
      </c>
      <c r="G904" s="2">
        <v>702.05</v>
      </c>
      <c r="H904" s="5">
        <v>2808.2</v>
      </c>
    </row>
    <row r="905" spans="1:8" x14ac:dyDescent="0.25">
      <c r="A905" s="4">
        <v>1904</v>
      </c>
      <c r="B905" s="3">
        <v>45460</v>
      </c>
      <c r="C905" s="2" t="s">
        <v>13</v>
      </c>
      <c r="D905" s="2" t="s">
        <v>15</v>
      </c>
      <c r="E905" s="2" t="s">
        <v>21</v>
      </c>
      <c r="F905" s="2">
        <v>2</v>
      </c>
      <c r="G905" s="2">
        <v>991.27</v>
      </c>
      <c r="H905" s="5">
        <v>1982.54</v>
      </c>
    </row>
    <row r="906" spans="1:8" x14ac:dyDescent="0.25">
      <c r="A906" s="4">
        <v>1905</v>
      </c>
      <c r="B906" s="3">
        <v>45651</v>
      </c>
      <c r="C906" s="2" t="s">
        <v>11</v>
      </c>
      <c r="D906" s="2" t="s">
        <v>15</v>
      </c>
      <c r="E906" s="2" t="s">
        <v>14</v>
      </c>
      <c r="F906" s="2">
        <v>12</v>
      </c>
      <c r="G906" s="2">
        <v>346.42</v>
      </c>
      <c r="H906" s="5">
        <v>4157.04</v>
      </c>
    </row>
    <row r="907" spans="1:8" x14ac:dyDescent="0.25">
      <c r="A907" s="4">
        <v>1906</v>
      </c>
      <c r="B907" s="3">
        <v>45505</v>
      </c>
      <c r="C907" s="2" t="s">
        <v>11</v>
      </c>
      <c r="D907" s="2" t="s">
        <v>18</v>
      </c>
      <c r="E907" s="2" t="s">
        <v>10</v>
      </c>
      <c r="F907" s="2">
        <v>10</v>
      </c>
      <c r="G907" s="2">
        <v>577.07000000000005</v>
      </c>
      <c r="H907" s="5">
        <v>5770.7000000000007</v>
      </c>
    </row>
    <row r="908" spans="1:8" x14ac:dyDescent="0.25">
      <c r="A908" s="4">
        <v>1907</v>
      </c>
      <c r="B908" s="3">
        <v>45410</v>
      </c>
      <c r="C908" s="2" t="s">
        <v>13</v>
      </c>
      <c r="D908" s="2" t="s">
        <v>9</v>
      </c>
      <c r="E908" s="2" t="s">
        <v>14</v>
      </c>
      <c r="F908" s="2">
        <v>12</v>
      </c>
      <c r="G908" s="2">
        <v>624.91999999999996</v>
      </c>
      <c r="H908" s="5">
        <v>7499.0399999999991</v>
      </c>
    </row>
    <row r="909" spans="1:8" x14ac:dyDescent="0.25">
      <c r="A909" s="4">
        <v>1908</v>
      </c>
      <c r="B909" s="3">
        <v>45337</v>
      </c>
      <c r="C909" s="2" t="s">
        <v>11</v>
      </c>
      <c r="D909" s="2" t="s">
        <v>9</v>
      </c>
      <c r="E909" s="2" t="s">
        <v>21</v>
      </c>
      <c r="F909" s="2">
        <v>11</v>
      </c>
      <c r="G909" s="2">
        <v>282.47000000000003</v>
      </c>
      <c r="H909" s="5">
        <v>3107.17</v>
      </c>
    </row>
    <row r="910" spans="1:8" x14ac:dyDescent="0.25">
      <c r="A910" s="4">
        <v>1909</v>
      </c>
      <c r="B910" s="3">
        <v>45611</v>
      </c>
      <c r="C910" s="2" t="s">
        <v>17</v>
      </c>
      <c r="D910" s="2" t="s">
        <v>9</v>
      </c>
      <c r="E910" s="2" t="s">
        <v>21</v>
      </c>
      <c r="F910" s="2">
        <v>13</v>
      </c>
      <c r="G910" s="2">
        <v>1420.63</v>
      </c>
      <c r="H910" s="5">
        <v>18468.189999999999</v>
      </c>
    </row>
    <row r="911" spans="1:8" x14ac:dyDescent="0.25">
      <c r="A911" s="4">
        <v>1910</v>
      </c>
      <c r="B911" s="3">
        <v>45443</v>
      </c>
      <c r="C911" s="2" t="s">
        <v>19</v>
      </c>
      <c r="D911" s="2" t="s">
        <v>9</v>
      </c>
      <c r="E911" s="2" t="s">
        <v>21</v>
      </c>
      <c r="F911" s="2">
        <v>14</v>
      </c>
      <c r="G911" s="2">
        <v>917.42</v>
      </c>
      <c r="H911" s="5">
        <v>12843.88</v>
      </c>
    </row>
    <row r="912" spans="1:8" x14ac:dyDescent="0.25">
      <c r="A912" s="4">
        <v>1911</v>
      </c>
      <c r="B912" s="3">
        <v>45635</v>
      </c>
      <c r="C912" s="2" t="s">
        <v>19</v>
      </c>
      <c r="D912" s="2" t="s">
        <v>9</v>
      </c>
      <c r="E912" s="2" t="s">
        <v>14</v>
      </c>
      <c r="F912" s="2">
        <v>1</v>
      </c>
      <c r="G912" s="2">
        <v>316.24</v>
      </c>
      <c r="H912" s="5">
        <v>316.24</v>
      </c>
    </row>
    <row r="913" spans="1:8" x14ac:dyDescent="0.25">
      <c r="A913" s="4">
        <v>1912</v>
      </c>
      <c r="B913" s="3">
        <v>45543</v>
      </c>
      <c r="C913" s="2" t="s">
        <v>13</v>
      </c>
      <c r="D913" s="2" t="s">
        <v>20</v>
      </c>
      <c r="E913" s="2" t="s">
        <v>21</v>
      </c>
      <c r="F913" s="2">
        <v>18</v>
      </c>
      <c r="G913" s="2">
        <v>643.13</v>
      </c>
      <c r="H913" s="5">
        <v>11576.34</v>
      </c>
    </row>
    <row r="914" spans="1:8" x14ac:dyDescent="0.25">
      <c r="A914" s="4">
        <v>1913</v>
      </c>
      <c r="B914" s="3">
        <v>45396</v>
      </c>
      <c r="C914" s="2" t="s">
        <v>8</v>
      </c>
      <c r="D914" s="2" t="s">
        <v>15</v>
      </c>
      <c r="E914" s="2" t="s">
        <v>10</v>
      </c>
      <c r="F914" s="2">
        <v>1</v>
      </c>
      <c r="G914" s="2">
        <v>1042.3800000000001</v>
      </c>
      <c r="H914" s="5">
        <v>1042.3800000000001</v>
      </c>
    </row>
    <row r="915" spans="1:8" x14ac:dyDescent="0.25">
      <c r="A915" s="4">
        <v>1914</v>
      </c>
      <c r="B915" s="3">
        <v>45413</v>
      </c>
      <c r="C915" s="2" t="s">
        <v>11</v>
      </c>
      <c r="D915" s="2" t="s">
        <v>20</v>
      </c>
      <c r="E915" s="2" t="s">
        <v>16</v>
      </c>
      <c r="F915" s="2">
        <v>16</v>
      </c>
      <c r="G915" s="2">
        <v>1395.52</v>
      </c>
      <c r="H915" s="5">
        <v>22328.32</v>
      </c>
    </row>
    <row r="916" spans="1:8" x14ac:dyDescent="0.25">
      <c r="A916" s="4">
        <v>1915</v>
      </c>
      <c r="B916" s="3">
        <v>45357</v>
      </c>
      <c r="C916" s="2" t="s">
        <v>8</v>
      </c>
      <c r="D916" s="2" t="s">
        <v>15</v>
      </c>
      <c r="E916" s="2" t="s">
        <v>21</v>
      </c>
      <c r="F916" s="2">
        <v>19</v>
      </c>
      <c r="G916" s="2">
        <v>689.5</v>
      </c>
      <c r="H916" s="5">
        <v>13100.5</v>
      </c>
    </row>
    <row r="917" spans="1:8" x14ac:dyDescent="0.25">
      <c r="A917" s="4">
        <v>1916</v>
      </c>
      <c r="B917" s="3">
        <v>45603</v>
      </c>
      <c r="C917" s="2" t="s">
        <v>13</v>
      </c>
      <c r="D917" s="2" t="s">
        <v>18</v>
      </c>
      <c r="E917" s="2" t="s">
        <v>12</v>
      </c>
      <c r="F917" s="2">
        <v>7</v>
      </c>
      <c r="G917" s="2">
        <v>548.97</v>
      </c>
      <c r="H917" s="5">
        <v>3842.79</v>
      </c>
    </row>
    <row r="918" spans="1:8" x14ac:dyDescent="0.25">
      <c r="A918" s="4">
        <v>1917</v>
      </c>
      <c r="B918" s="3">
        <v>45526</v>
      </c>
      <c r="C918" s="2" t="s">
        <v>19</v>
      </c>
      <c r="D918" s="2" t="s">
        <v>15</v>
      </c>
      <c r="E918" s="2" t="s">
        <v>10</v>
      </c>
      <c r="F918" s="2">
        <v>8</v>
      </c>
      <c r="G918" s="2">
        <v>539.66</v>
      </c>
      <c r="H918" s="5">
        <v>4317.28</v>
      </c>
    </row>
    <row r="919" spans="1:8" x14ac:dyDescent="0.25">
      <c r="A919" s="4">
        <v>1918</v>
      </c>
      <c r="B919" s="3">
        <v>45401</v>
      </c>
      <c r="C919" s="2" t="s">
        <v>17</v>
      </c>
      <c r="D919" s="2" t="s">
        <v>20</v>
      </c>
      <c r="E919" s="2" t="s">
        <v>21</v>
      </c>
      <c r="F919" s="2">
        <v>19</v>
      </c>
      <c r="G919" s="2">
        <v>553.09</v>
      </c>
      <c r="H919" s="5">
        <v>10508.71</v>
      </c>
    </row>
    <row r="920" spans="1:8" x14ac:dyDescent="0.25">
      <c r="A920" s="4">
        <v>1919</v>
      </c>
      <c r="B920" s="3">
        <v>45623</v>
      </c>
      <c r="C920" s="2" t="s">
        <v>17</v>
      </c>
      <c r="D920" s="2" t="s">
        <v>18</v>
      </c>
      <c r="E920" s="2" t="s">
        <v>21</v>
      </c>
      <c r="F920" s="2">
        <v>15</v>
      </c>
      <c r="G920" s="2">
        <v>255.97</v>
      </c>
      <c r="H920" s="5">
        <v>3839.55</v>
      </c>
    </row>
    <row r="921" spans="1:8" x14ac:dyDescent="0.25">
      <c r="A921" s="4">
        <v>1920</v>
      </c>
      <c r="B921" s="3">
        <v>45653</v>
      </c>
      <c r="C921" s="2" t="s">
        <v>19</v>
      </c>
      <c r="D921" s="2" t="s">
        <v>15</v>
      </c>
      <c r="E921" s="2" t="s">
        <v>16</v>
      </c>
      <c r="F921" s="2">
        <v>1</v>
      </c>
      <c r="G921" s="2">
        <v>457.44</v>
      </c>
      <c r="H921" s="5">
        <v>457.44</v>
      </c>
    </row>
    <row r="922" spans="1:8" x14ac:dyDescent="0.25">
      <c r="A922" s="4">
        <v>1921</v>
      </c>
      <c r="B922" s="3">
        <v>45299</v>
      </c>
      <c r="C922" s="2" t="s">
        <v>11</v>
      </c>
      <c r="D922" s="2" t="s">
        <v>20</v>
      </c>
      <c r="E922" s="2" t="s">
        <v>12</v>
      </c>
      <c r="F922" s="2">
        <v>2</v>
      </c>
      <c r="G922" s="2">
        <v>536.54</v>
      </c>
      <c r="H922" s="5">
        <v>1073.08</v>
      </c>
    </row>
    <row r="923" spans="1:8" x14ac:dyDescent="0.25">
      <c r="A923" s="4">
        <v>1922</v>
      </c>
      <c r="B923" s="3">
        <v>45407</v>
      </c>
      <c r="C923" s="2" t="s">
        <v>13</v>
      </c>
      <c r="D923" s="2" t="s">
        <v>20</v>
      </c>
      <c r="E923" s="2" t="s">
        <v>16</v>
      </c>
      <c r="F923" s="2">
        <v>5</v>
      </c>
      <c r="G923" s="2">
        <v>192.05</v>
      </c>
      <c r="H923" s="5">
        <v>960.25</v>
      </c>
    </row>
    <row r="924" spans="1:8" x14ac:dyDescent="0.25">
      <c r="A924" s="4">
        <v>1923</v>
      </c>
      <c r="B924" s="3">
        <v>45346</v>
      </c>
      <c r="C924" s="2" t="s">
        <v>11</v>
      </c>
      <c r="D924" s="2" t="s">
        <v>9</v>
      </c>
      <c r="E924" s="2" t="s">
        <v>21</v>
      </c>
      <c r="F924" s="2">
        <v>2</v>
      </c>
      <c r="G924" s="2">
        <v>935.93</v>
      </c>
      <c r="H924" s="5">
        <v>1871.86</v>
      </c>
    </row>
    <row r="925" spans="1:8" x14ac:dyDescent="0.25">
      <c r="A925" s="4">
        <v>1924</v>
      </c>
      <c r="B925" s="3">
        <v>45349</v>
      </c>
      <c r="C925" s="2" t="s">
        <v>8</v>
      </c>
      <c r="D925" s="2" t="s">
        <v>15</v>
      </c>
      <c r="E925" s="2" t="s">
        <v>12</v>
      </c>
      <c r="F925" s="2">
        <v>8</v>
      </c>
      <c r="G925" s="2">
        <v>644.61</v>
      </c>
      <c r="H925" s="5">
        <v>5156.88</v>
      </c>
    </row>
    <row r="926" spans="1:8" x14ac:dyDescent="0.25">
      <c r="A926" s="4">
        <v>1925</v>
      </c>
      <c r="B926" s="3">
        <v>45403</v>
      </c>
      <c r="C926" s="2" t="s">
        <v>17</v>
      </c>
      <c r="D926" s="2" t="s">
        <v>9</v>
      </c>
      <c r="E926" s="2" t="s">
        <v>10</v>
      </c>
      <c r="F926" s="2">
        <v>8</v>
      </c>
      <c r="G926" s="2">
        <v>942.97</v>
      </c>
      <c r="H926" s="5">
        <v>7543.76</v>
      </c>
    </row>
    <row r="927" spans="1:8" x14ac:dyDescent="0.25">
      <c r="A927" s="4">
        <v>1926</v>
      </c>
      <c r="B927" s="3">
        <v>45495</v>
      </c>
      <c r="C927" s="2" t="s">
        <v>13</v>
      </c>
      <c r="D927" s="2" t="s">
        <v>15</v>
      </c>
      <c r="E927" s="2" t="s">
        <v>10</v>
      </c>
      <c r="F927" s="2">
        <v>15</v>
      </c>
      <c r="G927" s="2">
        <v>709.91</v>
      </c>
      <c r="H927" s="5">
        <v>10648.65</v>
      </c>
    </row>
    <row r="928" spans="1:8" x14ac:dyDescent="0.25">
      <c r="A928" s="4">
        <v>1927</v>
      </c>
      <c r="B928" s="3">
        <v>45642</v>
      </c>
      <c r="C928" s="2" t="s">
        <v>13</v>
      </c>
      <c r="D928" s="2" t="s">
        <v>18</v>
      </c>
      <c r="E928" s="2" t="s">
        <v>16</v>
      </c>
      <c r="F928" s="2">
        <v>7</v>
      </c>
      <c r="G928" s="2">
        <v>544.70000000000005</v>
      </c>
      <c r="H928" s="5">
        <v>3812.900000000001</v>
      </c>
    </row>
    <row r="929" spans="1:8" x14ac:dyDescent="0.25">
      <c r="A929" s="4">
        <v>1928</v>
      </c>
      <c r="B929" s="3">
        <v>45329</v>
      </c>
      <c r="C929" s="2" t="s">
        <v>17</v>
      </c>
      <c r="D929" s="2" t="s">
        <v>15</v>
      </c>
      <c r="E929" s="2" t="s">
        <v>21</v>
      </c>
      <c r="F929" s="2">
        <v>6</v>
      </c>
      <c r="G929" s="2">
        <v>1412.72</v>
      </c>
      <c r="H929" s="5">
        <v>8476.32</v>
      </c>
    </row>
    <row r="930" spans="1:8" x14ac:dyDescent="0.25">
      <c r="A930" s="4">
        <v>1929</v>
      </c>
      <c r="B930" s="3">
        <v>45654</v>
      </c>
      <c r="C930" s="2" t="s">
        <v>11</v>
      </c>
      <c r="D930" s="2" t="s">
        <v>20</v>
      </c>
      <c r="E930" s="2" t="s">
        <v>12</v>
      </c>
      <c r="F930" s="2">
        <v>5</v>
      </c>
      <c r="G930" s="2">
        <v>457.07</v>
      </c>
      <c r="H930" s="5">
        <v>2285.35</v>
      </c>
    </row>
    <row r="931" spans="1:8" x14ac:dyDescent="0.25">
      <c r="A931" s="4">
        <v>1930</v>
      </c>
      <c r="B931" s="3">
        <v>45351</v>
      </c>
      <c r="C931" s="2" t="s">
        <v>17</v>
      </c>
      <c r="D931" s="2" t="s">
        <v>18</v>
      </c>
      <c r="E931" s="2" t="s">
        <v>10</v>
      </c>
      <c r="F931" s="2">
        <v>14</v>
      </c>
      <c r="G931" s="2">
        <v>694.06</v>
      </c>
      <c r="H931" s="5">
        <v>9716.84</v>
      </c>
    </row>
    <row r="932" spans="1:8" x14ac:dyDescent="0.25">
      <c r="A932" s="4">
        <v>1931</v>
      </c>
      <c r="B932" s="3">
        <v>45321</v>
      </c>
      <c r="C932" s="2" t="s">
        <v>11</v>
      </c>
      <c r="D932" s="2" t="s">
        <v>20</v>
      </c>
      <c r="E932" s="2" t="s">
        <v>10</v>
      </c>
      <c r="F932" s="2">
        <v>10</v>
      </c>
      <c r="G932" s="2">
        <v>580.17999999999995</v>
      </c>
      <c r="H932" s="5">
        <v>5801.7999999999993</v>
      </c>
    </row>
    <row r="933" spans="1:8" x14ac:dyDescent="0.25">
      <c r="A933" s="4">
        <v>1932</v>
      </c>
      <c r="B933" s="3">
        <v>45384</v>
      </c>
      <c r="C933" s="2" t="s">
        <v>11</v>
      </c>
      <c r="D933" s="2" t="s">
        <v>9</v>
      </c>
      <c r="E933" s="2" t="s">
        <v>16</v>
      </c>
      <c r="F933" s="2">
        <v>9</v>
      </c>
      <c r="G933" s="2">
        <v>943.18</v>
      </c>
      <c r="H933" s="5">
        <v>8488.619999999999</v>
      </c>
    </row>
    <row r="934" spans="1:8" x14ac:dyDescent="0.25">
      <c r="A934" s="4">
        <v>1933</v>
      </c>
      <c r="B934" s="3">
        <v>45464</v>
      </c>
      <c r="C934" s="2" t="s">
        <v>8</v>
      </c>
      <c r="D934" s="2" t="s">
        <v>9</v>
      </c>
      <c r="E934" s="2" t="s">
        <v>16</v>
      </c>
      <c r="F934" s="2">
        <v>3</v>
      </c>
      <c r="G934" s="2">
        <v>1471.26</v>
      </c>
      <c r="H934" s="5">
        <v>4413.78</v>
      </c>
    </row>
    <row r="935" spans="1:8" x14ac:dyDescent="0.25">
      <c r="A935" s="4">
        <v>1934</v>
      </c>
      <c r="B935" s="3">
        <v>45330</v>
      </c>
      <c r="C935" s="2" t="s">
        <v>8</v>
      </c>
      <c r="D935" s="2" t="s">
        <v>9</v>
      </c>
      <c r="E935" s="2" t="s">
        <v>14</v>
      </c>
      <c r="F935" s="2">
        <v>2</v>
      </c>
      <c r="G935" s="2">
        <v>740.35</v>
      </c>
      <c r="H935" s="5">
        <v>1480.7</v>
      </c>
    </row>
    <row r="936" spans="1:8" x14ac:dyDescent="0.25">
      <c r="A936" s="4">
        <v>1935</v>
      </c>
      <c r="B936" s="3">
        <v>45426</v>
      </c>
      <c r="C936" s="2" t="s">
        <v>8</v>
      </c>
      <c r="D936" s="2" t="s">
        <v>9</v>
      </c>
      <c r="E936" s="2" t="s">
        <v>10</v>
      </c>
      <c r="F936" s="2">
        <v>17</v>
      </c>
      <c r="G936" s="2">
        <v>1123.18</v>
      </c>
      <c r="H936" s="5">
        <v>19094.060000000001</v>
      </c>
    </row>
    <row r="937" spans="1:8" x14ac:dyDescent="0.25">
      <c r="A937" s="4">
        <v>1936</v>
      </c>
      <c r="B937" s="3">
        <v>45551</v>
      </c>
      <c r="C937" s="2" t="s">
        <v>11</v>
      </c>
      <c r="D937" s="2" t="s">
        <v>9</v>
      </c>
      <c r="E937" s="2" t="s">
        <v>21</v>
      </c>
      <c r="F937" s="2">
        <v>11</v>
      </c>
      <c r="G937" s="2">
        <v>1284.8499999999999</v>
      </c>
      <c r="H937" s="5">
        <v>14133.35</v>
      </c>
    </row>
    <row r="938" spans="1:8" x14ac:dyDescent="0.25">
      <c r="A938" s="4">
        <v>1937</v>
      </c>
      <c r="B938" s="3">
        <v>45300</v>
      </c>
      <c r="C938" s="2" t="s">
        <v>19</v>
      </c>
      <c r="D938" s="2" t="s">
        <v>9</v>
      </c>
      <c r="E938" s="2" t="s">
        <v>14</v>
      </c>
      <c r="F938" s="2">
        <v>15</v>
      </c>
      <c r="G938" s="2">
        <v>1160.49</v>
      </c>
      <c r="H938" s="5">
        <v>17407.349999999999</v>
      </c>
    </row>
    <row r="939" spans="1:8" x14ac:dyDescent="0.25">
      <c r="A939" s="4">
        <v>1938</v>
      </c>
      <c r="B939" s="3">
        <v>45561</v>
      </c>
      <c r="C939" s="2" t="s">
        <v>17</v>
      </c>
      <c r="D939" s="2" t="s">
        <v>20</v>
      </c>
      <c r="E939" s="2" t="s">
        <v>14</v>
      </c>
      <c r="F939" s="2">
        <v>16</v>
      </c>
      <c r="G939" s="2">
        <v>532.51</v>
      </c>
      <c r="H939" s="5">
        <v>8520.16</v>
      </c>
    </row>
    <row r="940" spans="1:8" x14ac:dyDescent="0.25">
      <c r="A940" s="4">
        <v>1939</v>
      </c>
      <c r="B940" s="3">
        <v>45646</v>
      </c>
      <c r="C940" s="2" t="s">
        <v>13</v>
      </c>
      <c r="D940" s="2" t="s">
        <v>15</v>
      </c>
      <c r="E940" s="2" t="s">
        <v>12</v>
      </c>
      <c r="F940" s="2">
        <v>13</v>
      </c>
      <c r="G940" s="2">
        <v>798.78</v>
      </c>
      <c r="H940" s="5">
        <v>10384.14</v>
      </c>
    </row>
    <row r="941" spans="1:8" x14ac:dyDescent="0.25">
      <c r="A941" s="4">
        <v>1940</v>
      </c>
      <c r="B941" s="3">
        <v>45365</v>
      </c>
      <c r="C941" s="2" t="s">
        <v>8</v>
      </c>
      <c r="D941" s="2" t="s">
        <v>15</v>
      </c>
      <c r="E941" s="2" t="s">
        <v>16</v>
      </c>
      <c r="F941" s="2">
        <v>1</v>
      </c>
      <c r="G941" s="2">
        <v>592.12</v>
      </c>
      <c r="H941" s="5">
        <v>592.12</v>
      </c>
    </row>
    <row r="942" spans="1:8" x14ac:dyDescent="0.25">
      <c r="A942" s="4">
        <v>1941</v>
      </c>
      <c r="B942" s="3">
        <v>45425</v>
      </c>
      <c r="C942" s="2" t="s">
        <v>19</v>
      </c>
      <c r="D942" s="2" t="s">
        <v>15</v>
      </c>
      <c r="E942" s="2" t="s">
        <v>21</v>
      </c>
      <c r="F942" s="2">
        <v>12</v>
      </c>
      <c r="G942" s="2">
        <v>1283.69</v>
      </c>
      <c r="H942" s="5">
        <v>15404.28</v>
      </c>
    </row>
    <row r="943" spans="1:8" x14ac:dyDescent="0.25">
      <c r="A943" s="4">
        <v>1942</v>
      </c>
      <c r="B943" s="3">
        <v>45586</v>
      </c>
      <c r="C943" s="2" t="s">
        <v>8</v>
      </c>
      <c r="D943" s="2" t="s">
        <v>15</v>
      </c>
      <c r="E943" s="2" t="s">
        <v>21</v>
      </c>
      <c r="F943" s="2">
        <v>19</v>
      </c>
      <c r="G943" s="2">
        <v>1317.94</v>
      </c>
      <c r="H943" s="5">
        <v>25040.86</v>
      </c>
    </row>
    <row r="944" spans="1:8" x14ac:dyDescent="0.25">
      <c r="A944" s="4">
        <v>1943</v>
      </c>
      <c r="B944" s="3">
        <v>45301</v>
      </c>
      <c r="C944" s="2" t="s">
        <v>17</v>
      </c>
      <c r="D944" s="2" t="s">
        <v>18</v>
      </c>
      <c r="E944" s="2" t="s">
        <v>16</v>
      </c>
      <c r="F944" s="2">
        <v>8</v>
      </c>
      <c r="G944" s="2">
        <v>888.65</v>
      </c>
      <c r="H944" s="5">
        <v>7109.2</v>
      </c>
    </row>
    <row r="945" spans="1:8" x14ac:dyDescent="0.25">
      <c r="A945" s="4">
        <v>1944</v>
      </c>
      <c r="B945" s="3">
        <v>45477</v>
      </c>
      <c r="C945" s="2" t="s">
        <v>13</v>
      </c>
      <c r="D945" s="2" t="s">
        <v>9</v>
      </c>
      <c r="E945" s="2" t="s">
        <v>21</v>
      </c>
      <c r="F945" s="2">
        <v>6</v>
      </c>
      <c r="G945" s="2">
        <v>807.85</v>
      </c>
      <c r="H945" s="5">
        <v>4847.1000000000004</v>
      </c>
    </row>
    <row r="946" spans="1:8" x14ac:dyDescent="0.25">
      <c r="A946" s="4">
        <v>1945</v>
      </c>
      <c r="B946" s="3">
        <v>45557</v>
      </c>
      <c r="C946" s="2" t="s">
        <v>13</v>
      </c>
      <c r="D946" s="2" t="s">
        <v>18</v>
      </c>
      <c r="E946" s="2" t="s">
        <v>21</v>
      </c>
      <c r="F946" s="2">
        <v>11</v>
      </c>
      <c r="G946" s="2">
        <v>1466.69</v>
      </c>
      <c r="H946" s="5">
        <v>16133.59</v>
      </c>
    </row>
    <row r="947" spans="1:8" x14ac:dyDescent="0.25">
      <c r="A947" s="4">
        <v>1946</v>
      </c>
      <c r="B947" s="3">
        <v>45568</v>
      </c>
      <c r="C947" s="2" t="s">
        <v>13</v>
      </c>
      <c r="D947" s="2" t="s">
        <v>18</v>
      </c>
      <c r="E947" s="2" t="s">
        <v>12</v>
      </c>
      <c r="F947" s="2">
        <v>8</v>
      </c>
      <c r="G947" s="2">
        <v>279.66000000000003</v>
      </c>
      <c r="H947" s="5">
        <v>2237.2800000000002</v>
      </c>
    </row>
    <row r="948" spans="1:8" x14ac:dyDescent="0.25">
      <c r="A948" s="4">
        <v>1947</v>
      </c>
      <c r="B948" s="3">
        <v>45401</v>
      </c>
      <c r="C948" s="2" t="s">
        <v>19</v>
      </c>
      <c r="D948" s="2" t="s">
        <v>20</v>
      </c>
      <c r="E948" s="2" t="s">
        <v>21</v>
      </c>
      <c r="F948" s="2">
        <v>6</v>
      </c>
      <c r="G948" s="2">
        <v>532.4</v>
      </c>
      <c r="H948" s="5">
        <v>3194.4</v>
      </c>
    </row>
    <row r="949" spans="1:8" x14ac:dyDescent="0.25">
      <c r="A949" s="4">
        <v>1948</v>
      </c>
      <c r="B949" s="3">
        <v>45644</v>
      </c>
      <c r="C949" s="2" t="s">
        <v>19</v>
      </c>
      <c r="D949" s="2" t="s">
        <v>15</v>
      </c>
      <c r="E949" s="2" t="s">
        <v>10</v>
      </c>
      <c r="F949" s="2">
        <v>11</v>
      </c>
      <c r="G949" s="2">
        <v>803.04</v>
      </c>
      <c r="H949" s="5">
        <v>8833.4399999999987</v>
      </c>
    </row>
    <row r="950" spans="1:8" x14ac:dyDescent="0.25">
      <c r="A950" s="4">
        <v>1949</v>
      </c>
      <c r="B950" s="3">
        <v>45545</v>
      </c>
      <c r="C950" s="2" t="s">
        <v>8</v>
      </c>
      <c r="D950" s="2" t="s">
        <v>20</v>
      </c>
      <c r="E950" s="2" t="s">
        <v>12</v>
      </c>
      <c r="F950" s="2">
        <v>13</v>
      </c>
      <c r="G950" s="2">
        <v>1026.1199999999999</v>
      </c>
      <c r="H950" s="5">
        <v>13339.56</v>
      </c>
    </row>
    <row r="951" spans="1:8" x14ac:dyDescent="0.25">
      <c r="A951" s="4">
        <v>1950</v>
      </c>
      <c r="B951" s="3">
        <v>45494</v>
      </c>
      <c r="C951" s="2" t="s">
        <v>17</v>
      </c>
      <c r="D951" s="2" t="s">
        <v>15</v>
      </c>
      <c r="E951" s="2" t="s">
        <v>10</v>
      </c>
      <c r="F951" s="2">
        <v>19</v>
      </c>
      <c r="G951" s="2">
        <v>426.07</v>
      </c>
      <c r="H951" s="5">
        <v>8095.33</v>
      </c>
    </row>
    <row r="952" spans="1:8" x14ac:dyDescent="0.25">
      <c r="A952" s="4">
        <v>1951</v>
      </c>
      <c r="B952" s="3">
        <v>45333</v>
      </c>
      <c r="C952" s="2" t="s">
        <v>17</v>
      </c>
      <c r="D952" s="2" t="s">
        <v>20</v>
      </c>
      <c r="E952" s="2" t="s">
        <v>21</v>
      </c>
      <c r="F952" s="2">
        <v>10</v>
      </c>
      <c r="G952" s="2">
        <v>1370.19</v>
      </c>
      <c r="H952" s="5">
        <v>13701.9</v>
      </c>
    </row>
    <row r="953" spans="1:8" x14ac:dyDescent="0.25">
      <c r="A953" s="4">
        <v>1952</v>
      </c>
      <c r="B953" s="3">
        <v>45377</v>
      </c>
      <c r="C953" s="2" t="s">
        <v>11</v>
      </c>
      <c r="D953" s="2" t="s">
        <v>18</v>
      </c>
      <c r="E953" s="2" t="s">
        <v>10</v>
      </c>
      <c r="F953" s="2">
        <v>8</v>
      </c>
      <c r="G953" s="2">
        <v>1081.1099999999999</v>
      </c>
      <c r="H953" s="5">
        <v>8648.8799999999992</v>
      </c>
    </row>
    <row r="954" spans="1:8" x14ac:dyDescent="0.25">
      <c r="A954" s="4">
        <v>1953</v>
      </c>
      <c r="B954" s="3">
        <v>45482</v>
      </c>
      <c r="C954" s="2" t="s">
        <v>17</v>
      </c>
      <c r="D954" s="2" t="s">
        <v>15</v>
      </c>
      <c r="E954" s="2" t="s">
        <v>14</v>
      </c>
      <c r="F954" s="2">
        <v>19</v>
      </c>
      <c r="G954" s="2">
        <v>1128.8499999999999</v>
      </c>
      <c r="H954" s="5">
        <v>21448.15</v>
      </c>
    </row>
    <row r="955" spans="1:8" x14ac:dyDescent="0.25">
      <c r="A955" s="4">
        <v>1954</v>
      </c>
      <c r="B955" s="3">
        <v>45510</v>
      </c>
      <c r="C955" s="2" t="s">
        <v>19</v>
      </c>
      <c r="D955" s="2" t="s">
        <v>9</v>
      </c>
      <c r="E955" s="2" t="s">
        <v>12</v>
      </c>
      <c r="F955" s="2">
        <v>16</v>
      </c>
      <c r="G955" s="2">
        <v>1418.07</v>
      </c>
      <c r="H955" s="5">
        <v>22689.119999999999</v>
      </c>
    </row>
    <row r="956" spans="1:8" x14ac:dyDescent="0.25">
      <c r="A956" s="4">
        <v>1955</v>
      </c>
      <c r="B956" s="3">
        <v>45594</v>
      </c>
      <c r="C956" s="2" t="s">
        <v>19</v>
      </c>
      <c r="D956" s="2" t="s">
        <v>9</v>
      </c>
      <c r="E956" s="2" t="s">
        <v>16</v>
      </c>
      <c r="F956" s="2">
        <v>7</v>
      </c>
      <c r="G956" s="2">
        <v>297.33999999999997</v>
      </c>
      <c r="H956" s="5">
        <v>2081.38</v>
      </c>
    </row>
    <row r="957" spans="1:8" x14ac:dyDescent="0.25">
      <c r="A957" s="4">
        <v>1956</v>
      </c>
      <c r="B957" s="3">
        <v>45399</v>
      </c>
      <c r="C957" s="2" t="s">
        <v>8</v>
      </c>
      <c r="D957" s="2" t="s">
        <v>15</v>
      </c>
      <c r="E957" s="2" t="s">
        <v>14</v>
      </c>
      <c r="F957" s="2">
        <v>14</v>
      </c>
      <c r="G957" s="2">
        <v>373.43</v>
      </c>
      <c r="H957" s="5">
        <v>5228.0200000000004</v>
      </c>
    </row>
    <row r="958" spans="1:8" x14ac:dyDescent="0.25">
      <c r="A958" s="4">
        <v>1957</v>
      </c>
      <c r="B958" s="3">
        <v>45554</v>
      </c>
      <c r="C958" s="2" t="s">
        <v>8</v>
      </c>
      <c r="D958" s="2" t="s">
        <v>18</v>
      </c>
      <c r="E958" s="2" t="s">
        <v>14</v>
      </c>
      <c r="F958" s="2">
        <v>13</v>
      </c>
      <c r="G958" s="2">
        <v>351.13</v>
      </c>
      <c r="H958" s="5">
        <v>4564.6899999999996</v>
      </c>
    </row>
    <row r="959" spans="1:8" x14ac:dyDescent="0.25">
      <c r="A959" s="4">
        <v>1958</v>
      </c>
      <c r="B959" s="3">
        <v>45332</v>
      </c>
      <c r="C959" s="2" t="s">
        <v>13</v>
      </c>
      <c r="D959" s="2" t="s">
        <v>18</v>
      </c>
      <c r="E959" s="2" t="s">
        <v>21</v>
      </c>
      <c r="F959" s="2">
        <v>7</v>
      </c>
      <c r="G959" s="2">
        <v>212.56</v>
      </c>
      <c r="H959" s="5">
        <v>1487.92</v>
      </c>
    </row>
    <row r="960" spans="1:8" x14ac:dyDescent="0.25">
      <c r="A960" s="4">
        <v>1959</v>
      </c>
      <c r="B960" s="3">
        <v>45398</v>
      </c>
      <c r="C960" s="2" t="s">
        <v>13</v>
      </c>
      <c r="D960" s="2" t="s">
        <v>9</v>
      </c>
      <c r="E960" s="2" t="s">
        <v>10</v>
      </c>
      <c r="F960" s="2">
        <v>16</v>
      </c>
      <c r="G960" s="2">
        <v>684.65</v>
      </c>
      <c r="H960" s="5">
        <v>10954.4</v>
      </c>
    </row>
    <row r="961" spans="1:8" x14ac:dyDescent="0.25">
      <c r="A961" s="4">
        <v>1960</v>
      </c>
      <c r="B961" s="3">
        <v>45514</v>
      </c>
      <c r="C961" s="2" t="s">
        <v>11</v>
      </c>
      <c r="D961" s="2" t="s">
        <v>15</v>
      </c>
      <c r="E961" s="2" t="s">
        <v>12</v>
      </c>
      <c r="F961" s="2">
        <v>6</v>
      </c>
      <c r="G961" s="2">
        <v>819.12</v>
      </c>
      <c r="H961" s="5">
        <v>4914.72</v>
      </c>
    </row>
    <row r="962" spans="1:8" x14ac:dyDescent="0.25">
      <c r="A962" s="4">
        <v>1961</v>
      </c>
      <c r="B962" s="3">
        <v>45408</v>
      </c>
      <c r="C962" s="2" t="s">
        <v>11</v>
      </c>
      <c r="D962" s="2" t="s">
        <v>15</v>
      </c>
      <c r="E962" s="2" t="s">
        <v>21</v>
      </c>
      <c r="F962" s="2">
        <v>1</v>
      </c>
      <c r="G962" s="2">
        <v>724.21</v>
      </c>
      <c r="H962" s="5">
        <v>724.21</v>
      </c>
    </row>
    <row r="963" spans="1:8" x14ac:dyDescent="0.25">
      <c r="A963" s="4">
        <v>1962</v>
      </c>
      <c r="B963" s="3">
        <v>45372</v>
      </c>
      <c r="C963" s="2" t="s">
        <v>11</v>
      </c>
      <c r="D963" s="2" t="s">
        <v>20</v>
      </c>
      <c r="E963" s="2" t="s">
        <v>14</v>
      </c>
      <c r="F963" s="2">
        <v>9</v>
      </c>
      <c r="G963" s="2">
        <v>273.64999999999998</v>
      </c>
      <c r="H963" s="5">
        <v>2462.85</v>
      </c>
    </row>
    <row r="964" spans="1:8" x14ac:dyDescent="0.25">
      <c r="A964" s="4">
        <v>1963</v>
      </c>
      <c r="B964" s="3">
        <v>45338</v>
      </c>
      <c r="C964" s="2" t="s">
        <v>13</v>
      </c>
      <c r="D964" s="2" t="s">
        <v>18</v>
      </c>
      <c r="E964" s="2" t="s">
        <v>21</v>
      </c>
      <c r="F964" s="2">
        <v>6</v>
      </c>
      <c r="G964" s="2">
        <v>372.25</v>
      </c>
      <c r="H964" s="5">
        <v>2233.5</v>
      </c>
    </row>
    <row r="965" spans="1:8" x14ac:dyDescent="0.25">
      <c r="A965" s="4">
        <v>1964</v>
      </c>
      <c r="B965" s="3">
        <v>45571</v>
      </c>
      <c r="C965" s="2" t="s">
        <v>13</v>
      </c>
      <c r="D965" s="2" t="s">
        <v>9</v>
      </c>
      <c r="E965" s="2" t="s">
        <v>21</v>
      </c>
      <c r="F965" s="2">
        <v>14</v>
      </c>
      <c r="G965" s="2">
        <v>1136.18</v>
      </c>
      <c r="H965" s="5">
        <v>15906.52</v>
      </c>
    </row>
    <row r="966" spans="1:8" x14ac:dyDescent="0.25">
      <c r="A966" s="4">
        <v>1965</v>
      </c>
      <c r="B966" s="3">
        <v>45510</v>
      </c>
      <c r="C966" s="2" t="s">
        <v>13</v>
      </c>
      <c r="D966" s="2" t="s">
        <v>20</v>
      </c>
      <c r="E966" s="2" t="s">
        <v>14</v>
      </c>
      <c r="F966" s="2">
        <v>16</v>
      </c>
      <c r="G966" s="2">
        <v>1217.54</v>
      </c>
      <c r="H966" s="5">
        <v>19480.64</v>
      </c>
    </row>
    <row r="967" spans="1:8" x14ac:dyDescent="0.25">
      <c r="A967" s="4">
        <v>1966</v>
      </c>
      <c r="B967" s="3">
        <v>45326</v>
      </c>
      <c r="C967" s="2" t="s">
        <v>19</v>
      </c>
      <c r="D967" s="2" t="s">
        <v>9</v>
      </c>
      <c r="E967" s="2" t="s">
        <v>14</v>
      </c>
      <c r="F967" s="2">
        <v>4</v>
      </c>
      <c r="G967" s="2">
        <v>997.58</v>
      </c>
      <c r="H967" s="5">
        <v>3990.32</v>
      </c>
    </row>
    <row r="968" spans="1:8" x14ac:dyDescent="0.25">
      <c r="A968" s="4">
        <v>1967</v>
      </c>
      <c r="B968" s="3">
        <v>45530</v>
      </c>
      <c r="C968" s="2" t="s">
        <v>11</v>
      </c>
      <c r="D968" s="2" t="s">
        <v>20</v>
      </c>
      <c r="E968" s="2" t="s">
        <v>12</v>
      </c>
      <c r="F968" s="2">
        <v>3</v>
      </c>
      <c r="G968" s="2">
        <v>612.73</v>
      </c>
      <c r="H968" s="5">
        <v>1838.19</v>
      </c>
    </row>
    <row r="969" spans="1:8" x14ac:dyDescent="0.25">
      <c r="A969" s="4">
        <v>1968</v>
      </c>
      <c r="B969" s="3">
        <v>45355</v>
      </c>
      <c r="C969" s="2" t="s">
        <v>17</v>
      </c>
      <c r="D969" s="2" t="s">
        <v>18</v>
      </c>
      <c r="E969" s="2" t="s">
        <v>14</v>
      </c>
      <c r="F969" s="2">
        <v>7</v>
      </c>
      <c r="G969" s="2">
        <v>114</v>
      </c>
      <c r="H969" s="5">
        <v>798</v>
      </c>
    </row>
    <row r="970" spans="1:8" x14ac:dyDescent="0.25">
      <c r="A970" s="4">
        <v>1969</v>
      </c>
      <c r="B970" s="3">
        <v>45470</v>
      </c>
      <c r="C970" s="2" t="s">
        <v>13</v>
      </c>
      <c r="D970" s="2" t="s">
        <v>15</v>
      </c>
      <c r="E970" s="2" t="s">
        <v>21</v>
      </c>
      <c r="F970" s="2">
        <v>19</v>
      </c>
      <c r="G970" s="2">
        <v>898.66</v>
      </c>
      <c r="H970" s="5">
        <v>17074.54</v>
      </c>
    </row>
    <row r="971" spans="1:8" x14ac:dyDescent="0.25">
      <c r="A971" s="4">
        <v>1970</v>
      </c>
      <c r="B971" s="3">
        <v>45515</v>
      </c>
      <c r="C971" s="2" t="s">
        <v>13</v>
      </c>
      <c r="D971" s="2" t="s">
        <v>9</v>
      </c>
      <c r="E971" s="2" t="s">
        <v>16</v>
      </c>
      <c r="F971" s="2">
        <v>14</v>
      </c>
      <c r="G971" s="2">
        <v>511.44</v>
      </c>
      <c r="H971" s="5">
        <v>7160.16</v>
      </c>
    </row>
    <row r="972" spans="1:8" x14ac:dyDescent="0.25">
      <c r="A972" s="4">
        <v>1971</v>
      </c>
      <c r="B972" s="3">
        <v>45643</v>
      </c>
      <c r="C972" s="2" t="s">
        <v>8</v>
      </c>
      <c r="D972" s="2" t="s">
        <v>18</v>
      </c>
      <c r="E972" s="2" t="s">
        <v>16</v>
      </c>
      <c r="F972" s="2">
        <v>7</v>
      </c>
      <c r="G972" s="2">
        <v>1157.3800000000001</v>
      </c>
      <c r="H972" s="5">
        <v>8101.6600000000008</v>
      </c>
    </row>
    <row r="973" spans="1:8" x14ac:dyDescent="0.25">
      <c r="A973" s="4">
        <v>1972</v>
      </c>
      <c r="B973" s="3">
        <v>45502</v>
      </c>
      <c r="C973" s="2" t="s">
        <v>11</v>
      </c>
      <c r="D973" s="2" t="s">
        <v>9</v>
      </c>
      <c r="E973" s="2" t="s">
        <v>12</v>
      </c>
      <c r="F973" s="2">
        <v>10</v>
      </c>
      <c r="G973" s="2">
        <v>1021.27</v>
      </c>
      <c r="H973" s="5">
        <v>10212.700000000001</v>
      </c>
    </row>
    <row r="974" spans="1:8" x14ac:dyDescent="0.25">
      <c r="A974" s="4">
        <v>1973</v>
      </c>
      <c r="B974" s="3">
        <v>45320</v>
      </c>
      <c r="C974" s="2" t="s">
        <v>13</v>
      </c>
      <c r="D974" s="2" t="s">
        <v>9</v>
      </c>
      <c r="E974" s="2" t="s">
        <v>21</v>
      </c>
      <c r="F974" s="2">
        <v>15</v>
      </c>
      <c r="G974" s="2">
        <v>636.82000000000005</v>
      </c>
      <c r="H974" s="5">
        <v>9552.3000000000011</v>
      </c>
    </row>
    <row r="975" spans="1:8" x14ac:dyDescent="0.25">
      <c r="A975" s="4">
        <v>1974</v>
      </c>
      <c r="B975" s="3">
        <v>45324</v>
      </c>
      <c r="C975" s="2" t="s">
        <v>17</v>
      </c>
      <c r="D975" s="2" t="s">
        <v>15</v>
      </c>
      <c r="E975" s="2" t="s">
        <v>14</v>
      </c>
      <c r="F975" s="2">
        <v>7</v>
      </c>
      <c r="G975" s="2">
        <v>567.14</v>
      </c>
      <c r="H975" s="5">
        <v>3969.98</v>
      </c>
    </row>
    <row r="976" spans="1:8" x14ac:dyDescent="0.25">
      <c r="A976" s="4">
        <v>1975</v>
      </c>
      <c r="B976" s="3">
        <v>45650</v>
      </c>
      <c r="C976" s="2" t="s">
        <v>8</v>
      </c>
      <c r="D976" s="2" t="s">
        <v>20</v>
      </c>
      <c r="E976" s="2" t="s">
        <v>12</v>
      </c>
      <c r="F976" s="2">
        <v>13</v>
      </c>
      <c r="G976" s="2">
        <v>520.9</v>
      </c>
      <c r="H976" s="5">
        <v>6771.7</v>
      </c>
    </row>
    <row r="977" spans="1:11" x14ac:dyDescent="0.25">
      <c r="A977" s="4">
        <v>1976</v>
      </c>
      <c r="B977" s="3">
        <v>45418</v>
      </c>
      <c r="C977" s="2" t="s">
        <v>8</v>
      </c>
      <c r="D977" s="2" t="s">
        <v>18</v>
      </c>
      <c r="E977" s="2" t="s">
        <v>16</v>
      </c>
      <c r="F977" s="2">
        <v>8</v>
      </c>
      <c r="G977" s="2">
        <v>428.45</v>
      </c>
      <c r="H977" s="5">
        <v>3427.6</v>
      </c>
    </row>
    <row r="978" spans="1:11" x14ac:dyDescent="0.25">
      <c r="A978" s="4">
        <v>1977</v>
      </c>
      <c r="B978" s="3">
        <v>45446</v>
      </c>
      <c r="C978" s="2" t="s">
        <v>17</v>
      </c>
      <c r="D978" s="2" t="s">
        <v>20</v>
      </c>
      <c r="E978" s="2" t="s">
        <v>10</v>
      </c>
      <c r="F978" s="2">
        <v>6</v>
      </c>
      <c r="G978" s="2">
        <v>864.93</v>
      </c>
      <c r="H978" s="5">
        <v>5189.58</v>
      </c>
    </row>
    <row r="979" spans="1:11" x14ac:dyDescent="0.25">
      <c r="A979" s="4">
        <v>1978</v>
      </c>
      <c r="B979" s="3">
        <v>45386</v>
      </c>
      <c r="C979" s="2" t="s">
        <v>17</v>
      </c>
      <c r="D979" s="2" t="s">
        <v>20</v>
      </c>
      <c r="E979" s="2" t="s">
        <v>21</v>
      </c>
      <c r="F979" s="2">
        <v>14</v>
      </c>
      <c r="G979" s="2">
        <v>449.51</v>
      </c>
      <c r="H979" s="5">
        <v>6293.1399999999994</v>
      </c>
    </row>
    <row r="980" spans="1:11" x14ac:dyDescent="0.25">
      <c r="A980" s="4">
        <v>1979</v>
      </c>
      <c r="B980" s="3">
        <v>45384</v>
      </c>
      <c r="C980" s="2" t="s">
        <v>11</v>
      </c>
      <c r="D980" s="2" t="s">
        <v>15</v>
      </c>
      <c r="E980" s="2" t="s">
        <v>21</v>
      </c>
      <c r="F980" s="2">
        <v>7</v>
      </c>
      <c r="G980" s="2">
        <v>332.28</v>
      </c>
      <c r="H980" s="5">
        <v>2325.96</v>
      </c>
    </row>
    <row r="981" spans="1:11" x14ac:dyDescent="0.25">
      <c r="A981" s="4">
        <v>1980</v>
      </c>
      <c r="B981" s="3">
        <v>45639</v>
      </c>
      <c r="C981" s="2" t="s">
        <v>8</v>
      </c>
      <c r="D981" s="2" t="s">
        <v>20</v>
      </c>
      <c r="E981" s="2" t="s">
        <v>16</v>
      </c>
      <c r="F981" s="2">
        <v>8</v>
      </c>
      <c r="G981" s="2">
        <v>1000.21</v>
      </c>
      <c r="H981" s="5">
        <v>8001.68</v>
      </c>
    </row>
    <row r="982" spans="1:11" x14ac:dyDescent="0.25">
      <c r="A982" s="4">
        <v>1981</v>
      </c>
      <c r="B982" s="3">
        <v>45466</v>
      </c>
      <c r="C982" s="2" t="s">
        <v>11</v>
      </c>
      <c r="D982" s="2" t="s">
        <v>20</v>
      </c>
      <c r="E982" s="2" t="s">
        <v>16</v>
      </c>
      <c r="F982" s="2">
        <v>16</v>
      </c>
      <c r="G982" s="2">
        <v>1164.6199999999999</v>
      </c>
      <c r="H982" s="5">
        <v>18633.919999999998</v>
      </c>
    </row>
    <row r="983" spans="1:11" x14ac:dyDescent="0.25">
      <c r="A983" s="4">
        <v>1982</v>
      </c>
      <c r="B983" s="3">
        <v>45417</v>
      </c>
      <c r="C983" s="2" t="s">
        <v>17</v>
      </c>
      <c r="D983" s="2" t="s">
        <v>18</v>
      </c>
      <c r="E983" s="2" t="s">
        <v>21</v>
      </c>
      <c r="F983" s="2">
        <v>5</v>
      </c>
      <c r="G983" s="2">
        <v>1053.27</v>
      </c>
      <c r="H983" s="5">
        <v>5266.35</v>
      </c>
    </row>
    <row r="984" spans="1:11" x14ac:dyDescent="0.25">
      <c r="A984" s="4">
        <v>1983</v>
      </c>
      <c r="B984" s="3">
        <v>45640</v>
      </c>
      <c r="C984" s="2" t="s">
        <v>13</v>
      </c>
      <c r="D984" s="2" t="s">
        <v>18</v>
      </c>
      <c r="E984" s="2" t="s">
        <v>14</v>
      </c>
      <c r="F984" s="2">
        <v>7</v>
      </c>
      <c r="G984" s="2">
        <v>1305.1500000000001</v>
      </c>
      <c r="H984" s="5">
        <v>9136.0500000000011</v>
      </c>
    </row>
    <row r="985" spans="1:11" x14ac:dyDescent="0.25">
      <c r="A985" s="4">
        <v>1984</v>
      </c>
      <c r="B985" s="3">
        <v>45338</v>
      </c>
      <c r="C985" s="2" t="s">
        <v>13</v>
      </c>
      <c r="D985" s="2" t="s">
        <v>9</v>
      </c>
      <c r="E985" s="2" t="s">
        <v>12</v>
      </c>
      <c r="F985" s="2">
        <v>6</v>
      </c>
      <c r="G985" s="2">
        <v>1348.02</v>
      </c>
      <c r="H985" s="5">
        <v>8088.12</v>
      </c>
    </row>
    <row r="986" spans="1:11" x14ac:dyDescent="0.25">
      <c r="A986" s="4">
        <v>1985</v>
      </c>
      <c r="B986" s="3">
        <v>45422</v>
      </c>
      <c r="C986" s="2" t="s">
        <v>17</v>
      </c>
      <c r="D986" s="2" t="s">
        <v>15</v>
      </c>
      <c r="E986" s="2" t="s">
        <v>10</v>
      </c>
      <c r="F986" s="2">
        <v>6</v>
      </c>
      <c r="G986" s="2">
        <v>560.83000000000004</v>
      </c>
      <c r="H986" s="5">
        <v>3364.98</v>
      </c>
    </row>
    <row r="987" spans="1:11" x14ac:dyDescent="0.25">
      <c r="A987" s="4">
        <v>1986</v>
      </c>
      <c r="B987" s="3">
        <v>45559</v>
      </c>
      <c r="C987" s="2" t="s">
        <v>8</v>
      </c>
      <c r="D987" s="2" t="s">
        <v>18</v>
      </c>
      <c r="E987" s="2" t="s">
        <v>21</v>
      </c>
      <c r="F987" s="2">
        <v>5</v>
      </c>
      <c r="G987" s="2">
        <v>536.6</v>
      </c>
      <c r="H987" s="5">
        <v>2683</v>
      </c>
    </row>
    <row r="988" spans="1:11" x14ac:dyDescent="0.25">
      <c r="A988" s="4">
        <v>1987</v>
      </c>
      <c r="B988" s="3">
        <v>45624</v>
      </c>
      <c r="C988" s="2" t="s">
        <v>17</v>
      </c>
      <c r="D988" s="2" t="s">
        <v>9</v>
      </c>
      <c r="E988" s="2" t="s">
        <v>21</v>
      </c>
      <c r="F988" s="2">
        <v>4</v>
      </c>
      <c r="G988" s="2">
        <v>804.43</v>
      </c>
      <c r="H988" s="5">
        <v>3217.72</v>
      </c>
    </row>
    <row r="989" spans="1:11" x14ac:dyDescent="0.25">
      <c r="A989" s="4">
        <v>1988</v>
      </c>
      <c r="B989" s="3">
        <v>45528</v>
      </c>
      <c r="C989" s="2" t="s">
        <v>17</v>
      </c>
      <c r="D989" s="2" t="s">
        <v>9</v>
      </c>
      <c r="E989" s="2" t="s">
        <v>10</v>
      </c>
      <c r="F989" s="2">
        <v>16</v>
      </c>
      <c r="G989" s="2">
        <v>645.03</v>
      </c>
      <c r="H989" s="5">
        <v>10320.48</v>
      </c>
    </row>
    <row r="990" spans="1:11" x14ac:dyDescent="0.25">
      <c r="A990" s="4">
        <v>1989</v>
      </c>
      <c r="B990" s="3">
        <v>45330</v>
      </c>
      <c r="C990" s="2" t="s">
        <v>17</v>
      </c>
      <c r="D990" s="2" t="s">
        <v>15</v>
      </c>
      <c r="E990" s="2" t="s">
        <v>12</v>
      </c>
      <c r="F990" s="2">
        <v>14</v>
      </c>
      <c r="G990" s="2">
        <v>603.46</v>
      </c>
      <c r="H990" s="5">
        <v>8448.44</v>
      </c>
    </row>
    <row r="991" spans="1:11" x14ac:dyDescent="0.25">
      <c r="A991" s="4">
        <v>1990</v>
      </c>
      <c r="B991" s="3">
        <v>45581</v>
      </c>
      <c r="C991" s="2" t="s">
        <v>11</v>
      </c>
      <c r="D991" s="2" t="s">
        <v>18</v>
      </c>
      <c r="E991" s="2" t="s">
        <v>21</v>
      </c>
      <c r="F991" s="2">
        <v>15</v>
      </c>
      <c r="G991" s="2">
        <v>912.08</v>
      </c>
      <c r="H991" s="5">
        <v>13681.2</v>
      </c>
    </row>
    <row r="992" spans="1:11" x14ac:dyDescent="0.25">
      <c r="A992" s="4">
        <v>1991</v>
      </c>
      <c r="B992" s="3">
        <v>45396</v>
      </c>
      <c r="C992" s="2" t="s">
        <v>13</v>
      </c>
      <c r="D992" s="2" t="s">
        <v>15</v>
      </c>
      <c r="E992" s="2" t="s">
        <v>16</v>
      </c>
      <c r="F992" s="2">
        <v>1</v>
      </c>
      <c r="G992" s="2">
        <v>349.32</v>
      </c>
      <c r="H992" s="5">
        <v>349.32</v>
      </c>
      <c r="K992" t="s">
        <v>46</v>
      </c>
    </row>
    <row r="993" spans="1:8" x14ac:dyDescent="0.25">
      <c r="A993" s="4">
        <v>1992</v>
      </c>
      <c r="B993" s="3">
        <v>45358</v>
      </c>
      <c r="C993" s="2" t="s">
        <v>17</v>
      </c>
      <c r="D993" s="2" t="s">
        <v>9</v>
      </c>
      <c r="E993" s="2" t="s">
        <v>10</v>
      </c>
      <c r="F993" s="2">
        <v>3</v>
      </c>
      <c r="G993" s="2">
        <v>1223.28</v>
      </c>
      <c r="H993" s="5">
        <v>3669.84</v>
      </c>
    </row>
    <row r="994" spans="1:8" x14ac:dyDescent="0.25">
      <c r="A994" s="4">
        <v>1993</v>
      </c>
      <c r="B994" s="3">
        <v>45433</v>
      </c>
      <c r="C994" s="2" t="s">
        <v>17</v>
      </c>
      <c r="D994" s="2" t="s">
        <v>9</v>
      </c>
      <c r="E994" s="2" t="s">
        <v>16</v>
      </c>
      <c r="F994" s="2">
        <v>19</v>
      </c>
      <c r="G994" s="2">
        <v>1025.8</v>
      </c>
      <c r="H994" s="5">
        <v>19490.2</v>
      </c>
    </row>
    <row r="995" spans="1:8" x14ac:dyDescent="0.25">
      <c r="A995" s="4">
        <v>1994</v>
      </c>
      <c r="B995" s="3">
        <v>45443</v>
      </c>
      <c r="C995" s="2" t="s">
        <v>13</v>
      </c>
      <c r="D995" s="2" t="s">
        <v>18</v>
      </c>
      <c r="E995" s="2" t="s">
        <v>21</v>
      </c>
      <c r="F995" s="2">
        <v>12</v>
      </c>
      <c r="G995" s="2">
        <v>923.13</v>
      </c>
      <c r="H995" s="5">
        <v>11077.56</v>
      </c>
    </row>
    <row r="996" spans="1:8" x14ac:dyDescent="0.25">
      <c r="A996" s="4">
        <v>1995</v>
      </c>
      <c r="B996" s="3">
        <v>45309</v>
      </c>
      <c r="C996" s="2" t="s">
        <v>19</v>
      </c>
      <c r="D996" s="2" t="s">
        <v>9</v>
      </c>
      <c r="E996" s="2" t="s">
        <v>14</v>
      </c>
      <c r="F996" s="2">
        <v>14</v>
      </c>
      <c r="G996" s="2">
        <v>319.43</v>
      </c>
      <c r="H996" s="5">
        <v>4472.0200000000004</v>
      </c>
    </row>
    <row r="997" spans="1:8" x14ac:dyDescent="0.25">
      <c r="A997" s="4">
        <v>1996</v>
      </c>
      <c r="B997" s="3">
        <v>45446</v>
      </c>
      <c r="C997" s="2" t="s">
        <v>11</v>
      </c>
      <c r="D997" s="2" t="s">
        <v>20</v>
      </c>
      <c r="E997" s="2" t="s">
        <v>10</v>
      </c>
      <c r="F997" s="2">
        <v>13</v>
      </c>
      <c r="G997" s="2">
        <v>1459.2</v>
      </c>
      <c r="H997" s="5">
        <v>18969.599999999999</v>
      </c>
    </row>
    <row r="998" spans="1:8" x14ac:dyDescent="0.25">
      <c r="A998" s="4">
        <v>1997</v>
      </c>
      <c r="B998" s="3">
        <v>45597</v>
      </c>
      <c r="C998" s="2" t="s">
        <v>19</v>
      </c>
      <c r="D998" s="2" t="s">
        <v>15</v>
      </c>
      <c r="E998" s="2" t="s">
        <v>12</v>
      </c>
      <c r="F998" s="2">
        <v>17</v>
      </c>
      <c r="G998" s="2">
        <v>727.15</v>
      </c>
      <c r="H998" s="5">
        <v>12361.55</v>
      </c>
    </row>
    <row r="999" spans="1:8" x14ac:dyDescent="0.25">
      <c r="A999" s="4">
        <v>1998</v>
      </c>
      <c r="B999" s="3">
        <v>45370</v>
      </c>
      <c r="C999" s="2" t="s">
        <v>13</v>
      </c>
      <c r="D999" s="2" t="s">
        <v>9</v>
      </c>
      <c r="E999" s="2" t="s">
        <v>16</v>
      </c>
      <c r="F999" s="2">
        <v>19</v>
      </c>
      <c r="G999" s="2">
        <v>168.25</v>
      </c>
      <c r="H999" s="5">
        <v>3196.75</v>
      </c>
    </row>
    <row r="1000" spans="1:8" x14ac:dyDescent="0.25">
      <c r="A1000" s="4">
        <v>1999</v>
      </c>
      <c r="B1000" s="3">
        <v>45377</v>
      </c>
      <c r="C1000" s="2" t="s">
        <v>17</v>
      </c>
      <c r="D1000" s="2" t="s">
        <v>18</v>
      </c>
      <c r="E1000" s="2" t="s">
        <v>16</v>
      </c>
      <c r="F1000" s="2">
        <v>2</v>
      </c>
      <c r="G1000" s="2">
        <v>1113.22</v>
      </c>
      <c r="H1000" s="5">
        <v>2226.44</v>
      </c>
    </row>
    <row r="1001" spans="1:8" x14ac:dyDescent="0.25">
      <c r="A1001" s="9">
        <v>2000</v>
      </c>
      <c r="B1001" s="10">
        <v>45376</v>
      </c>
      <c r="C1001" s="11" t="s">
        <v>11</v>
      </c>
      <c r="D1001" s="11" t="s">
        <v>15</v>
      </c>
      <c r="E1001" s="11" t="s">
        <v>14</v>
      </c>
      <c r="F1001" s="11">
        <v>9</v>
      </c>
      <c r="G1001" s="11">
        <v>1102.44</v>
      </c>
      <c r="H1001" s="12">
        <v>9921.9600000000009</v>
      </c>
    </row>
    <row r="1002" spans="1:8" x14ac:dyDescent="0.25">
      <c r="A1002" s="9"/>
      <c r="B1002" s="10"/>
      <c r="C1002" s="11"/>
      <c r="D1002" s="11"/>
      <c r="E1002" s="11"/>
      <c r="F1002" s="11"/>
      <c r="G1002" s="11"/>
      <c r="H1002" s="12">
        <f>SUBTOTAL(109,Table1[Total_Sales])</f>
        <v>7928859.6799999997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50269-289E-4DDD-BF8D-D123046E0FA6}">
  <dimension ref="G35:K37"/>
  <sheetViews>
    <sheetView showRowColHeaders="0" topLeftCell="A8" workbookViewId="0">
      <selection activeCell="H37" sqref="H37:H38"/>
    </sheetView>
  </sheetViews>
  <sheetFormatPr defaultRowHeight="15" x14ac:dyDescent="0.25"/>
  <sheetData>
    <row r="35" spans="7:11" x14ac:dyDescent="0.25">
      <c r="G35" t="s">
        <v>42</v>
      </c>
    </row>
    <row r="36" spans="7:11" x14ac:dyDescent="0.25">
      <c r="J36" t="s">
        <v>41</v>
      </c>
    </row>
    <row r="37" spans="7:11" x14ac:dyDescent="0.25">
      <c r="H37" t="s">
        <v>43</v>
      </c>
      <c r="K37" t="s">
        <v>40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C2AEE8-64D7-457A-B22E-D59EA63953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Table1</vt:lpstr>
      <vt:lpstr>Sheet1</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ankittiwari33868@gmail.com</cp:lastModifiedBy>
  <dcterms:created xsi:type="dcterms:W3CDTF">2026-03-07T06:36:26Z</dcterms:created>
  <dcterms:modified xsi:type="dcterms:W3CDTF">2026-03-13T08:46:59Z</dcterms:modified>
</cp:coreProperties>
</file>